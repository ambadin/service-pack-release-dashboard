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320286978\OneDrive - Philips\Desktop\Service Pack\PI 28\IB LIST\"/>
    </mc:Choice>
  </mc:AlternateContent>
  <bookViews>
    <workbookView xWindow="-110" yWindow="-110" windowWidth="19420" windowHeight="10300" tabRatio="915" activeTab="3"/>
  </bookViews>
  <sheets>
    <sheet name="Cover Page" sheetId="23" r:id="rId1"/>
    <sheet name="Win10 1607" sheetId="12" r:id="rId2"/>
    <sheet name="Win10 1809" sheetId="13" r:id="rId3"/>
    <sheet name="Win10 2021" sheetId="14" r:id="rId4"/>
    <sheet name="Summary" sheetId="22" state="hidden" r:id="rId5"/>
    <sheet name="Revision history" sheetId="5" r:id="rId6"/>
    <sheet name="Pivot_Win10_1607" sheetId="19" state="hidden" r:id="rId7"/>
    <sheet name="Pivot-Win10_1809" sheetId="20" state="hidden" r:id="rId8"/>
    <sheet name="Pivot_2021" sheetId="21" state="hidden" r:id="rId9"/>
  </sheets>
  <definedNames>
    <definedName name="_xlnm._FilterDatabase" localSheetId="1" hidden="1">'Win10 1607'!$A$1:$H$32</definedName>
    <definedName name="_xlnm._FilterDatabase" localSheetId="2" hidden="1">'Win10 1809'!$A$1:$H$5</definedName>
    <definedName name="_xlnm._FilterDatabase" localSheetId="3" hidden="1">'Win10 2021'!$A$1:$K$25</definedName>
  </definedNames>
  <calcPr calcId="191028"/>
  <pivotCaches>
    <pivotCache cacheId="0" r:id="rId10"/>
    <pivotCache cacheId="1" r:id="rId11"/>
    <pivotCache cacheId="2"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2" l="1"/>
  <c r="E8" i="22"/>
  <c r="D10" i="22"/>
  <c r="C10" i="22"/>
  <c r="E5" i="22"/>
  <c r="E6" i="22"/>
  <c r="E4" i="22"/>
  <c r="D7" i="22"/>
  <c r="D11" i="22" s="1"/>
  <c r="C7" i="22"/>
  <c r="C11" i="22" s="1"/>
  <c r="E10" i="22" l="1"/>
  <c r="E7" i="22"/>
  <c r="E11" i="22" s="1"/>
</calcChain>
</file>

<file path=xl/sharedStrings.xml><?xml version="1.0" encoding="utf-8"?>
<sst xmlns="http://schemas.openxmlformats.org/spreadsheetml/2006/main" count="484" uniqueCount="285">
  <si>
    <t xml:space="preserve">Purpose </t>
  </si>
  <si>
    <t>The purpose of the IB System Release Versions document is to provide a centralized and standardized reference for all system‑specific details required during service pack planning, testing, and release activities. It ensures alignment across teams by consolidating key information such as system type, product release, product release name, operating system (OS), and OS version.</t>
  </si>
  <si>
    <t>Scope and Indended Use</t>
  </si>
  <si>
    <r>
      <rPr>
        <sz val="11"/>
        <color rgb="FF000000"/>
        <rFont val="Calibri"/>
        <scheme val="minor"/>
      </rPr>
      <t xml:space="preserve">This document covers all systems and product releases supported within the DXR organisation                         
The scope includes:
-All system types used across product lines.
-All product releases and their associated release names.
-All operating systems (OS) supported for each product.
-All OS versions relevant to the lifecycle of each release.
-This document has to be updated prior to the RFPC release.
-Used by teams involved in release management, development, QA/testing, validation, deployment, and support
-This document provides reference information for all service pack releases
</t>
    </r>
    <r>
      <rPr>
        <b/>
        <sz val="11"/>
        <color rgb="FF000000"/>
        <rFont val="Calibri"/>
        <scheme val="minor"/>
      </rPr>
      <t xml:space="preserve">NOTE: 
1. Upgrade for individual products will reflects the original 6NC.
2.This document requires updates whenever there are changes, such as additions or removals, in the IB system. </t>
    </r>
  </si>
  <si>
    <t>Approvals</t>
  </si>
  <si>
    <t>Role</t>
  </si>
  <si>
    <t>Function</t>
  </si>
  <si>
    <t>Remark</t>
  </si>
  <si>
    <t>Author</t>
  </si>
  <si>
    <t>Management Team Member</t>
  </si>
  <si>
    <t>Name assignment and approval see Windchill</t>
  </si>
  <si>
    <t>Approver(s)</t>
  </si>
  <si>
    <t>Quality Representative</t>
  </si>
  <si>
    <t>LCM System</t>
  </si>
  <si>
    <t>LCM Service</t>
  </si>
  <si>
    <t>LCM Software</t>
  </si>
  <si>
    <t>SL No.</t>
  </si>
  <si>
    <t>System Type</t>
  </si>
  <si>
    <t>Product Release</t>
  </si>
  <si>
    <t>Release Name</t>
  </si>
  <si>
    <t>AS Version</t>
  </si>
  <si>
    <t>OS Version</t>
  </si>
  <si>
    <t>AWS Type</t>
  </si>
  <si>
    <t>6 NC</t>
  </si>
  <si>
    <t>Dura Diagnost-F30</t>
  </si>
  <si>
    <t>DuraDiagnost – F30 R1.1.2</t>
  </si>
  <si>
    <t>DuraDiagnost-F30 R1.1.2V14.4100.005</t>
  </si>
  <si>
    <t>41.0.551</t>
  </si>
  <si>
    <t xml:space="preserve">1607.0.12 </t>
  </si>
  <si>
    <t>AWS-2X</t>
  </si>
  <si>
    <t>Flexi Diagnost</t>
  </si>
  <si>
    <t>Flexi Diagnost R4.1.1</t>
  </si>
  <si>
    <t>FlexiDiagnost R4.1.1V02.4100.004</t>
  </si>
  <si>
    <t>41.0.336</t>
  </si>
  <si>
    <t xml:space="preserve">1607.0.8 </t>
  </si>
  <si>
    <t>Flexi Diagnost R4.1.2</t>
  </si>
  <si>
    <t>FlexiDiagnost R4.1.2V02.4100.005</t>
  </si>
  <si>
    <t>1607.0.12</t>
  </si>
  <si>
    <t>Digital Diagnost C50</t>
  </si>
  <si>
    <t>Digital Diagnost C50 1.1.2</t>
  </si>
  <si>
    <t>DigitalDiagnost-C50 R1.1.2V13.4100.005</t>
  </si>
  <si>
    <t>Dura Diagnost</t>
  </si>
  <si>
    <t>DuraDiagnost R4.1.2</t>
  </si>
  <si>
    <t>DuraDiagnost R4.1.2V02.4100.005</t>
  </si>
  <si>
    <t>MobileDiagnost</t>
  </si>
  <si>
    <t>MobileDiagnost wDR 2.2.3</t>
  </si>
  <si>
    <t>MobileDiagnost-wDR R2.2.3V15.4100.010</t>
  </si>
  <si>
    <t>41.0.208</t>
  </si>
  <si>
    <t>1607.0.11</t>
  </si>
  <si>
    <t>AWS-AV</t>
  </si>
  <si>
    <t>712006, 712007</t>
  </si>
  <si>
    <t>Combi Diagnost</t>
  </si>
  <si>
    <t>Combi Diagnost R1.1.1(PCF)</t>
  </si>
  <si>
    <t>CombiDiagnost R1.1.1V08.4210.014</t>
  </si>
  <si>
    <t>42.1.013</t>
  </si>
  <si>
    <t xml:space="preserve">1607.1.2
</t>
  </si>
  <si>
    <t xml:space="preserve">AWS-DI
</t>
  </si>
  <si>
    <t>Combi Diagnost R1.1.2(GCF)</t>
  </si>
  <si>
    <t>CombiDiagnost R1.1.2V08.4210.015</t>
  </si>
  <si>
    <t>ProxiDiagnost</t>
  </si>
  <si>
    <t>ProxiDiagnost N90 1.1</t>
  </si>
  <si>
    <t>ProxiDiagnost R1.1.1V16.4200.008</t>
  </si>
  <si>
    <t xml:space="preserve">42.0.450 </t>
  </si>
  <si>
    <t>1607.1.2 
1607.1.4</t>
  </si>
  <si>
    <t>AWS-DI
AWS-DI2
Remarks: Proxi 1.0 upgraded to Win 10  on AWS DI  and DI2</t>
  </si>
  <si>
    <t>ProxiDiagnost R1.1.3V16.4230.011</t>
  </si>
  <si>
    <t xml:space="preserve">
1607.1.4</t>
  </si>
  <si>
    <t xml:space="preserve">
AWS-DI2</t>
  </si>
  <si>
    <t>Precision CRF</t>
  </si>
  <si>
    <t>Precision CRF R1.0.1</t>
  </si>
  <si>
    <t>Precision CRF R1.0.1V24.4220.008</t>
  </si>
  <si>
    <t>42.2.369</t>
  </si>
  <si>
    <t xml:space="preserve">1607.1.10 
</t>
  </si>
  <si>
    <t>AWS-DI &amp; AWS -DI2</t>
  </si>
  <si>
    <t>Digital Diagnost C50 1.1.3</t>
  </si>
  <si>
    <t>DigitalDiagnost-C50 R1.1.3V13.4100.006</t>
  </si>
  <si>
    <t>C90</t>
  </si>
  <si>
    <t>DigitalDiagnost C90 R1.1</t>
  </si>
  <si>
    <t>DigitalDiagnost C90 R1.1.1V20.4100.018</t>
  </si>
  <si>
    <t>41.0.490</t>
  </si>
  <si>
    <t>1607.0.10</t>
  </si>
  <si>
    <t>712034 / 712035</t>
  </si>
  <si>
    <t>DigitalDiagnost C90 R1.1.0</t>
  </si>
  <si>
    <t>DigitalDiagnost C90 R1.1.0V20.4100.014</t>
  </si>
  <si>
    <t xml:space="preserve">41.0.336  </t>
  </si>
  <si>
    <t>1607.0.8</t>
  </si>
  <si>
    <t>DigitalDiagnost C90 R1.0.3</t>
  </si>
  <si>
    <t>DigitalDiagnost C90 R1.0.3V20.4110.001</t>
  </si>
  <si>
    <t>41.1.017</t>
  </si>
  <si>
    <t>DiDi</t>
  </si>
  <si>
    <t>DigitalDiagnost R4.3</t>
  </si>
  <si>
    <t>DigitalDiagnost R4.3.0V18.4200.006</t>
  </si>
  <si>
    <t>42.0.734</t>
  </si>
  <si>
    <t>1607.1.11</t>
  </si>
  <si>
    <t>AWS -2X</t>
  </si>
  <si>
    <t>DuraDiagnost – F30 R1.1.1</t>
  </si>
  <si>
    <t>DuraDiagnost-F30 R1.1.1V14.4100.004</t>
  </si>
  <si>
    <t>Digital Diagnost C50 1.1.1</t>
  </si>
  <si>
    <t>DigitalDiagnost-C50 R1.1.1V13.4100.004</t>
  </si>
  <si>
    <t>DuraDiagnost R4.0.21</t>
  </si>
  <si>
    <t>DuraDiagnost R4.0.21V02.4100.101</t>
  </si>
  <si>
    <t>DuraDiagnost R4.1.1</t>
  </si>
  <si>
    <t>DuraDiagnost R4.1.1V02.4100.004</t>
  </si>
  <si>
    <t>MobileDiagnost wDR 2.2.0</t>
  </si>
  <si>
    <t>MobileDiagnost-wDR R2.2.0V15.4100.007</t>
  </si>
  <si>
    <t>1607.0.5</t>
  </si>
  <si>
    <t>MobileDiagnost wDR 2.2.1</t>
  </si>
  <si>
    <t>MobileDiagnost-wDR R2.2.1V15.4100.008</t>
  </si>
  <si>
    <t>MobileDiagnost wDR 2.2.2</t>
  </si>
  <si>
    <t>MobileDiagnost-wDR R2.2.2V15.4100.009</t>
  </si>
  <si>
    <t>MobileDiagnost wDR 2.2.4</t>
  </si>
  <si>
    <t>MobileDiagnost-wDR R2.2.4V15.4100.012</t>
  </si>
  <si>
    <t>41.0.833</t>
  </si>
  <si>
    <t>CombiDiagnost R90 R1.1.0.1</t>
  </si>
  <si>
    <t>CombiDiagnost R1.1.0.1V08.4200.012</t>
  </si>
  <si>
    <t>42.0.311</t>
  </si>
  <si>
    <t>AWS-DI</t>
  </si>
  <si>
    <t>CombiDiagnost R90 R1.1.0.2</t>
  </si>
  <si>
    <t>CombiDiagnost R1.1.0.2V08.4200.013</t>
  </si>
  <si>
    <t>1607.1.2</t>
  </si>
  <si>
    <t>AWS-DI2</t>
  </si>
  <si>
    <t>CombiDiagnost 1.1.4</t>
  </si>
  <si>
    <t>CombiDiagnost R1.1.4V08.4200.018</t>
  </si>
  <si>
    <t>42.0.848</t>
  </si>
  <si>
    <t>1607.1.10
1607.1.9</t>
  </si>
  <si>
    <t>AWS-DI2
AWS-DI</t>
  </si>
  <si>
    <t>CombiDiagnost 1.1.5</t>
  </si>
  <si>
    <t>CombiDiagnost R1.1.5V08.4230.019</t>
  </si>
  <si>
    <t>42.3.026</t>
  </si>
  <si>
    <t xml:space="preserve"> AWS-DI2
AWS-DI</t>
  </si>
  <si>
    <t>DigitalDiagnost C90 R1.1.2</t>
  </si>
  <si>
    <t>DigitalDiagnost C90 R1.1.2V20.4100.021</t>
  </si>
  <si>
    <t>DigitalDiagnost C90 R1.0.1</t>
  </si>
  <si>
    <t>DigitalDiagnost C90 R1.0.1V20.4100.007</t>
  </si>
  <si>
    <t>41.0.194</t>
  </si>
  <si>
    <t>DigitalDiagnost C90 R1.0.2</t>
  </si>
  <si>
    <t>DigitalDiagnost C90 R1.0.2V20.4100.008</t>
  </si>
  <si>
    <t xml:space="preserve">1607.0.5 </t>
  </si>
  <si>
    <t>Product Release Name</t>
  </si>
  <si>
    <t>Digital Diagnost</t>
  </si>
  <si>
    <t>DigitalDiagnost C90 R1.1.3</t>
  </si>
  <si>
    <t>DigitalDiagnost C90 R1.1.3V20.4200.007</t>
  </si>
  <si>
    <t>42.0.1183</t>
  </si>
  <si>
    <t>1809.2.3</t>
  </si>
  <si>
    <t>712034, 712035</t>
  </si>
  <si>
    <t>DigitalDiagnost C90 R1.1.6</t>
  </si>
  <si>
    <t>DigitalDiagnost C90 R1.1.6V20.4240.004</t>
  </si>
  <si>
    <t>42.4.434</t>
  </si>
  <si>
    <t>1809.2.4</t>
  </si>
  <si>
    <t>DigitalDiagnost R4.3.1</t>
  </si>
  <si>
    <t>DigitalDiagnost R4.3.1V18.4240.004</t>
  </si>
  <si>
    <t>712031, 712032, 712033</t>
  </si>
  <si>
    <t>Philips Digital Radiography</t>
  </si>
  <si>
    <t>Radiography_7000_M R1.0.0</t>
  </si>
  <si>
    <t>Radiography_7000_M R1.0.0V22.4300.006</t>
  </si>
  <si>
    <t>43.0.854</t>
  </si>
  <si>
    <t>1809.3.5</t>
  </si>
  <si>
    <t>AWS -AV</t>
  </si>
  <si>
    <t>SystemType Description</t>
  </si>
  <si>
    <t>Aws Type</t>
  </si>
  <si>
    <t>DR7300C</t>
  </si>
  <si>
    <t>Radiography_7300C R1.0.0</t>
  </si>
  <si>
    <t>Radiography_7300C R1.0.0V27.4200.005</t>
  </si>
  <si>
    <t>42.0.2335</t>
  </si>
  <si>
    <t>2021.2.7</t>
  </si>
  <si>
    <t>AWS-DI3</t>
  </si>
  <si>
    <t>712037 &amp; 712077</t>
  </si>
  <si>
    <t>Radiography_7300C R1.0.1</t>
  </si>
  <si>
    <t>Radiography_7300C R1.0.1v27.4270.004</t>
  </si>
  <si>
    <t>42.7.679</t>
  </si>
  <si>
    <t>2021.2.20</t>
  </si>
  <si>
    <t>C50</t>
  </si>
  <si>
    <t>DigitalDiagnost C50 1.1</t>
  </si>
  <si>
    <t>DigitalDiagnost-C50 R1.1.4V13.4270.002</t>
  </si>
  <si>
    <t>42.7.544</t>
  </si>
  <si>
    <t>2021.2.16
2021.2.17</t>
  </si>
  <si>
    <t>AWS-2X
AWS-2X-A</t>
  </si>
  <si>
    <t>Dura</t>
  </si>
  <si>
    <t>DuraDiagnost R4.1</t>
  </si>
  <si>
    <t>DuraDiagnost R4.1.3V02.4270.002</t>
  </si>
  <si>
    <t xml:space="preserve">2021.2.16
2021.2.17 </t>
  </si>
  <si>
    <t>Flexi</t>
  </si>
  <si>
    <t>FlexiDiagnost R4.1</t>
  </si>
  <si>
    <t>FlexiDiagnost R4.1.3V02.4270.002</t>
  </si>
  <si>
    <t>DuraDiagnost F30 1.1</t>
  </si>
  <si>
    <t>DuraDiagnost-F30 R1.1.3V14.4270.001</t>
  </si>
  <si>
    <t xml:space="preserve">2021.2.16 
2021.2.17 </t>
  </si>
  <si>
    <t>DuraDiagnost R4.0</t>
  </si>
  <si>
    <t>DuraDiagnost R4.0.22V02.4270.001</t>
  </si>
  <si>
    <t>2021.2.16 
2021.2.17</t>
  </si>
  <si>
    <t>DR7000M</t>
  </si>
  <si>
    <t>DR 7000 M 1.0.1</t>
  </si>
  <si>
    <t>Radiography_7000_M R1.0.1V22.4300.009</t>
  </si>
  <si>
    <t>43.0.1229</t>
  </si>
  <si>
    <t xml:space="preserve">2021.3.1 </t>
  </si>
  <si>
    <t>AWS-AV2</t>
  </si>
  <si>
    <t>DigitalDiagnost R3.3</t>
  </si>
  <si>
    <t>DigitalDiagnost R3.3.0V01.4260.006</t>
  </si>
  <si>
    <t>42.6.659</t>
  </si>
  <si>
    <t xml:space="preserve">2021.2.7 </t>
  </si>
  <si>
    <t>ED</t>
  </si>
  <si>
    <t>EasyDiagnost Eleva R5.2</t>
  </si>
  <si>
    <t>EasyDiagnost R5.2.0V11.4260.006</t>
  </si>
  <si>
    <t>MD</t>
  </si>
  <si>
    <t>MobileDiagnost wDR 2.2.5</t>
  </si>
  <si>
    <t>MobileDiagnost-wDR R2.2.5V15.4270.005</t>
  </si>
  <si>
    <t>2021.2.11</t>
  </si>
  <si>
    <t xml:space="preserve">AWS-AV </t>
  </si>
  <si>
    <t>Proxi</t>
  </si>
  <si>
    <t>ProxiDiagnost N90 1.1.4</t>
  </si>
  <si>
    <t>ProxiDiagnost R1.1.4V16.4270.006</t>
  </si>
  <si>
    <t>42.7.664</t>
  </si>
  <si>
    <t>2021.2.14
2021.2.15</t>
  </si>
  <si>
    <t>AWS-DI2 
AWS-DI2-A</t>
  </si>
  <si>
    <t>Combi</t>
  </si>
  <si>
    <t>Combi Diagnost R90 1.1.7</t>
  </si>
  <si>
    <t>CombiDiagnost R1.1.7V08.4270.006</t>
  </si>
  <si>
    <t xml:space="preserve">42.7.664
</t>
  </si>
  <si>
    <t xml:space="preserve">2021.2.14
2021.2.15 </t>
  </si>
  <si>
    <t>C90 R1.1.7</t>
  </si>
  <si>
    <t>DigitalDiagnost C90 R1.1.7V20.4270.008</t>
  </si>
  <si>
    <t xml:space="preserve">2021.2.16,
2021.2.17 </t>
  </si>
  <si>
    <t xml:space="preserve"> AWS -2X
AWS-2XA</t>
  </si>
  <si>
    <t>DiDi R4.3.2</t>
  </si>
  <si>
    <t>DigitalDiagnost R4.3.2V18.4270.005</t>
  </si>
  <si>
    <t>2021.2.16,
2021.2.17</t>
  </si>
  <si>
    <t>AWS-2X
AWS-2XA</t>
  </si>
  <si>
    <t>C90 R1.1.8</t>
  </si>
  <si>
    <t>DigitalDiagnost C90 R1.1.8 V20.4270.010</t>
  </si>
  <si>
    <t>712034, 712035 via 712084</t>
  </si>
  <si>
    <t>Philips_Radiography_7000_M_R1.0.2</t>
  </si>
  <si>
    <t>Philips_Radiography_7000_M_R1.0.2V22.4300.010  </t>
  </si>
  <si>
    <t>43.0.1442</t>
  </si>
  <si>
    <t>2021.3.1</t>
  </si>
  <si>
    <t>Philips_Radiography_7000_M_R1.0.3</t>
  </si>
  <si>
    <t>Philips_Radiography_7000_M_R1.0.3V22.4300.011 </t>
  </si>
  <si>
    <t>43.0.1460</t>
  </si>
  <si>
    <t>2021.3.2 </t>
  </si>
  <si>
    <t>712010 </t>
  </si>
  <si>
    <t>Radiography_7300C R1.0.2</t>
  </si>
  <si>
    <t>Radiography_7300C R1.0.2V27.4280.001</t>
  </si>
  <si>
    <t>42.8.015</t>
  </si>
  <si>
    <t>DigitalDiagnost C90 R1.1.9</t>
  </si>
  <si>
    <t>DigitalDiagnost C90 R1.1.9V20.4280.001</t>
  </si>
  <si>
    <t>2021.2.16/ 2021.2.17</t>
  </si>
  <si>
    <t>AWS 2X
AWS 2XA</t>
  </si>
  <si>
    <t>DigitalDiagnost C90 R1.1.10</t>
  </si>
  <si>
    <t>DigitalDiagnost C90 R1.1.10V20.4280.002</t>
  </si>
  <si>
    <t>AWS DI3</t>
  </si>
  <si>
    <t>CombiDiagnost R90 R1.1.8</t>
  </si>
  <si>
    <t>CombiDiagnost R90 R1.1.8V08.4280.001</t>
  </si>
  <si>
    <t>2021.2.14/2021.2.15</t>
  </si>
  <si>
    <t>AWS DI2
AWS DI2A</t>
  </si>
  <si>
    <t>ProxiDiagnost N90 R1.1.5</t>
  </si>
  <si>
    <t>ProxiDiagnost N90 R1.1.5V16.4280.001</t>
  </si>
  <si>
    <t>DigitalDiagnost R4.3.3</t>
  </si>
  <si>
    <t>DigitalDiagnost R4.3.3V18.4280.001</t>
  </si>
  <si>
    <t xml:space="preserve">Summary of Impacted system list </t>
  </si>
  <si>
    <t>Win OS</t>
  </si>
  <si>
    <t>Count</t>
  </si>
  <si>
    <t>Eleva Tracker</t>
  </si>
  <si>
    <t>Difference</t>
  </si>
  <si>
    <t>Win 10_2021</t>
  </si>
  <si>
    <t>Win10_1809</t>
  </si>
  <si>
    <t>Win10_1607</t>
  </si>
  <si>
    <t>Total</t>
  </si>
  <si>
    <t>Win7</t>
  </si>
  <si>
    <t>WinXP</t>
  </si>
  <si>
    <t>Grand Total</t>
  </si>
  <si>
    <r>
      <t>Revision history of record</t>
    </r>
    <r>
      <rPr>
        <b/>
        <sz val="14"/>
        <color rgb="FF0070C0"/>
        <rFont val="Calibri"/>
        <family val="2"/>
        <scheme val="minor"/>
      </rPr>
      <t xml:space="preserve"> </t>
    </r>
  </si>
  <si>
    <t>Record version</t>
  </si>
  <si>
    <t>Date creation/change of record</t>
  </si>
  <si>
    <t>Change request identification</t>
  </si>
  <si>
    <t>Description</t>
  </si>
  <si>
    <t>A</t>
  </si>
  <si>
    <t>Sahoo Prasanta Kumar</t>
  </si>
  <si>
    <t>NA</t>
  </si>
  <si>
    <t>B</t>
  </si>
  <si>
    <t>Updated the sheet "Win10 2021" for newly added Monarch system versions  7000_M_R1.0.2 and 7000_M_R1.0.3</t>
  </si>
  <si>
    <t>C</t>
  </si>
  <si>
    <t>1.Updated the sheet "Win10 2021" for newly added for e-FCO build.
Radiography_7300C R1.0.2
DigitalDiagnost C90 R1.1.9
DigitalDiagnost C90 R1.1.10
CombiDiagnost R90 R1.1.8
ProxiDiagnost N90 R1.1.5
DigitalDiagnost R4.3.3
2. Updated "Win10 2021" sheet for following
 a. "AWS type" for Radiography_7300C R1.0.2 and DigitalDiagnost C90 R1.1.10 is updated</t>
  </si>
  <si>
    <t>Row Labels</t>
  </si>
  <si>
    <t>Count of System Type</t>
  </si>
  <si>
    <t>Count of Systen Type</t>
  </si>
  <si>
    <t>Count of Syetem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</si>
</sst>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rgb="FF7030A0"/>
      <name val="Calibri"/>
      <family val="2"/>
      <scheme val="minor"/>
    </font>
    <font>
      <sz val="14"/>
      <color rgb="FF0070C0"/>
      <name val="Calibri"/>
      <family val="2"/>
      <scheme val="minor"/>
    </font>
    <font>
      <b/>
      <sz val="14"/>
      <color rgb="FF0070C0"/>
      <name val="Calibri"/>
      <family val="2"/>
      <scheme val="minor"/>
    </font>
    <font>
      <b/>
      <sz val="11"/>
      <color theme="1"/>
      <name val="Calibri"/>
      <family val="2"/>
    </font>
    <font>
      <sz val="11"/>
      <color rgb="FF000000"/>
      <name val="Calibri"/>
      <family val="2"/>
    </font>
    <font>
      <sz val="11"/>
      <color rgb="FF8345BA"/>
      <name val="Calibri"/>
      <family val="2"/>
      <scheme val="minor"/>
    </font>
    <font>
      <b/>
      <sz val="11"/>
      <color rgb="FF000000"/>
      <name val="Calibri"/>
      <family val="2"/>
    </font>
    <font>
      <b/>
      <sz val="11"/>
      <color theme="1"/>
      <name val="Calibri"/>
      <family val="2"/>
      <scheme val="minor"/>
    </font>
    <font>
      <sz val="11"/>
      <name val="Calibri"/>
      <family val="2"/>
    </font>
    <font>
      <b/>
      <sz val="14"/>
      <color theme="1"/>
      <name val="Calibri"/>
      <family val="2"/>
      <scheme val="minor"/>
    </font>
    <font>
      <sz val="11"/>
      <color rgb="FF000000"/>
      <name val="Calibri"/>
      <family val="2"/>
      <scheme val="minor"/>
    </font>
    <font>
      <b/>
      <sz val="14"/>
      <color rgb="FF000000"/>
      <name val="Calibri"/>
      <family val="2"/>
      <scheme val="minor"/>
    </font>
    <font>
      <sz val="11"/>
      <color rgb="FF000000"/>
      <name val="Calibri"/>
    </font>
    <font>
      <sz val="11"/>
      <color rgb="FF000000"/>
      <name val="Calibri"/>
      <scheme val="minor"/>
    </font>
    <font>
      <b/>
      <sz val="11"/>
      <color rgb="FF000000"/>
      <name val="Calibri"/>
      <scheme val="minor"/>
    </font>
  </fonts>
  <fills count="9">
    <fill>
      <patternFill patternType="none"/>
    </fill>
    <fill>
      <patternFill patternType="gray125"/>
    </fill>
    <fill>
      <patternFill patternType="solid">
        <fgColor theme="5"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9.9978637043366805E-2"/>
        <bgColor rgb="FF000000"/>
      </patternFill>
    </fill>
    <fill>
      <patternFill patternType="solid">
        <fgColor rgb="FFFFFFFF"/>
        <bgColor indexed="64"/>
      </patternFill>
    </fill>
  </fills>
  <borders count="17">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78">
    <xf numFmtId="0" fontId="0" fillId="0" borderId="0" xfId="0"/>
    <xf numFmtId="0" fontId="1" fillId="0" borderId="0" xfId="0" applyFont="1"/>
    <xf numFmtId="0" fontId="2"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center" indent="1"/>
    </xf>
    <xf numFmtId="0" fontId="0" fillId="0" borderId="5" xfId="0" applyBorder="1"/>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0" fillId="0" borderId="0" xfId="0" applyAlignment="1">
      <alignment horizontal="center"/>
    </xf>
    <xf numFmtId="0" fontId="0" fillId="0" borderId="0" xfId="0" applyAlignment="1">
      <alignment horizontal="left"/>
    </xf>
    <xf numFmtId="0" fontId="0" fillId="0" borderId="5" xfId="0" applyBorder="1" applyAlignment="1">
      <alignment horizontal="center"/>
    </xf>
    <xf numFmtId="0" fontId="5" fillId="0" borderId="0" xfId="0" applyFont="1" applyAlignment="1">
      <alignmen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0" fillId="0" borderId="0" xfId="0" pivotButton="1"/>
    <xf numFmtId="0" fontId="8" fillId="2" borderId="5" xfId="0" applyFont="1" applyFill="1" applyBorder="1" applyAlignment="1">
      <alignment horizontal="center"/>
    </xf>
    <xf numFmtId="0" fontId="8" fillId="3" borderId="5" xfId="0" applyFont="1" applyFill="1" applyBorder="1" applyAlignment="1">
      <alignment horizontal="center"/>
    </xf>
    <xf numFmtId="0" fontId="8" fillId="4" borderId="5" xfId="0" applyFont="1" applyFill="1" applyBorder="1" applyAlignment="1">
      <alignment horizontal="center"/>
    </xf>
    <xf numFmtId="0" fontId="7" fillId="2"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5" xfId="0" applyFont="1" applyFill="1" applyBorder="1" applyAlignment="1">
      <alignment horizontal="left" vertical="center" wrapText="1"/>
    </xf>
    <xf numFmtId="0" fontId="5" fillId="5" borderId="5" xfId="0" applyFont="1" applyFill="1" applyBorder="1" applyAlignment="1">
      <alignment vertical="center" wrapText="1"/>
    </xf>
    <xf numFmtId="0" fontId="0" fillId="5" borderId="5" xfId="0" applyFill="1" applyBorder="1" applyAlignment="1">
      <alignment vertical="center" wrapText="1"/>
    </xf>
    <xf numFmtId="0" fontId="0" fillId="5" borderId="5" xfId="0" applyFill="1" applyBorder="1" applyAlignment="1">
      <alignment horizontal="left" vertical="center" wrapText="1"/>
    </xf>
    <xf numFmtId="0" fontId="9" fillId="5" borderId="5" xfId="0" applyFont="1" applyFill="1" applyBorder="1" applyAlignment="1">
      <alignment horizontal="left" vertical="center" wrapText="1"/>
    </xf>
    <xf numFmtId="49" fontId="0" fillId="5" borderId="5" xfId="0" applyNumberFormat="1" applyFill="1" applyBorder="1" applyAlignment="1">
      <alignment horizontal="left" vertical="center"/>
    </xf>
    <xf numFmtId="15" fontId="5" fillId="0" borderId="4" xfId="0" applyNumberFormat="1" applyFont="1" applyBorder="1" applyAlignment="1">
      <alignment horizontal="left" vertical="center" wrapText="1"/>
    </xf>
    <xf numFmtId="0" fontId="11" fillId="0" borderId="0" xfId="0" applyFont="1"/>
    <xf numFmtId="0" fontId="11" fillId="0" borderId="0" xfId="0" applyFont="1" applyAlignment="1">
      <alignment vertical="center" wrapText="1"/>
    </xf>
    <xf numFmtId="0" fontId="11" fillId="0" borderId="0" xfId="0" applyFont="1" applyAlignment="1">
      <alignment horizontal="left" vertical="center"/>
    </xf>
    <xf numFmtId="0" fontId="12" fillId="0" borderId="0" xfId="0" applyFont="1"/>
    <xf numFmtId="0" fontId="7" fillId="2" borderId="7" xfId="0" applyFont="1" applyFill="1" applyBorder="1" applyAlignment="1">
      <alignment horizontal="center" vertical="center" wrapText="1"/>
    </xf>
    <xf numFmtId="0" fontId="7" fillId="2" borderId="8" xfId="0" applyFont="1" applyFill="1" applyBorder="1" applyAlignment="1">
      <alignment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vertical="center" wrapText="1"/>
    </xf>
    <xf numFmtId="0" fontId="8" fillId="2" borderId="6" xfId="0" applyFont="1" applyFill="1" applyBorder="1" applyAlignment="1">
      <alignment horizontal="center"/>
    </xf>
    <xf numFmtId="0" fontId="0" fillId="0" borderId="6" xfId="0" applyBorder="1" applyAlignment="1">
      <alignment horizontal="center"/>
    </xf>
    <xf numFmtId="0" fontId="8" fillId="3" borderId="6" xfId="0" applyFont="1" applyFill="1" applyBorder="1" applyAlignment="1">
      <alignment horizontal="center"/>
    </xf>
    <xf numFmtId="0" fontId="8" fillId="4" borderId="6" xfId="0" applyFont="1" applyFill="1" applyBorder="1" applyAlignment="1">
      <alignment horizontal="center"/>
    </xf>
    <xf numFmtId="0" fontId="8" fillId="2" borderId="7" xfId="0" applyFont="1" applyFill="1" applyBorder="1"/>
    <xf numFmtId="0" fontId="8" fillId="2" borderId="9" xfId="0" applyFont="1" applyFill="1" applyBorder="1" applyAlignment="1">
      <alignment horizontal="center"/>
    </xf>
    <xf numFmtId="0" fontId="0" fillId="0" borderId="10" xfId="0" applyBorder="1"/>
    <xf numFmtId="0" fontId="0" fillId="0" borderId="11" xfId="0" applyBorder="1" applyAlignment="1">
      <alignment horizontal="center"/>
    </xf>
    <xf numFmtId="0" fontId="8" fillId="3" borderId="10" xfId="0" applyFont="1" applyFill="1" applyBorder="1"/>
    <xf numFmtId="0" fontId="8" fillId="3" borderId="11" xfId="0" applyFont="1" applyFill="1" applyBorder="1" applyAlignment="1">
      <alignment horizontal="center"/>
    </xf>
    <xf numFmtId="0" fontId="8" fillId="4" borderId="12" xfId="0" applyFont="1" applyFill="1" applyBorder="1"/>
    <xf numFmtId="0" fontId="8" fillId="4" borderId="13" xfId="0" applyFont="1" applyFill="1" applyBorder="1" applyAlignment="1">
      <alignment horizontal="center"/>
    </xf>
    <xf numFmtId="0" fontId="5" fillId="0" borderId="0" xfId="0" applyFont="1"/>
    <xf numFmtId="0" fontId="5" fillId="0" borderId="5" xfId="0" applyFont="1" applyBorder="1" applyAlignment="1">
      <alignment wrapText="1"/>
    </xf>
    <xf numFmtId="0" fontId="7" fillId="2" borderId="14" xfId="0" applyFont="1" applyFill="1" applyBorder="1" applyAlignment="1">
      <alignment horizontal="center" vertical="center" wrapText="1"/>
    </xf>
    <xf numFmtId="0" fontId="9" fillId="0" borderId="5" xfId="0" applyFont="1" applyBorder="1" applyAlignment="1">
      <alignment wrapText="1"/>
    </xf>
    <xf numFmtId="0" fontId="4" fillId="6" borderId="1" xfId="0" applyFont="1" applyFill="1" applyBorder="1" applyAlignment="1">
      <alignment horizontal="left" vertical="center" wrapText="1"/>
    </xf>
    <xf numFmtId="0" fontId="4" fillId="6" borderId="2" xfId="0" applyFont="1" applyFill="1" applyBorder="1" applyAlignment="1">
      <alignment horizontal="left" vertical="center" wrapText="1"/>
    </xf>
    <xf numFmtId="0" fontId="7" fillId="7" borderId="5" xfId="0" applyFont="1" applyFill="1" applyBorder="1" applyAlignment="1">
      <alignment horizontal="center" wrapText="1"/>
    </xf>
    <xf numFmtId="0" fontId="7" fillId="7" borderId="5" xfId="0" applyFont="1" applyFill="1" applyBorder="1" applyAlignment="1">
      <alignment wrapText="1"/>
    </xf>
    <xf numFmtId="0" fontId="7" fillId="2" borderId="5" xfId="0" applyFont="1" applyFill="1" applyBorder="1" applyAlignment="1">
      <alignment vertical="center" wrapText="1"/>
    </xf>
    <xf numFmtId="0" fontId="7" fillId="2" borderId="5" xfId="0" applyFont="1" applyFill="1" applyBorder="1" applyAlignment="1">
      <alignment horizontal="left" vertical="center" wrapText="1"/>
    </xf>
    <xf numFmtId="0" fontId="0" fillId="0" borderId="5" xfId="0" applyBorder="1" applyAlignment="1">
      <alignment horizontal="left"/>
    </xf>
    <xf numFmtId="0" fontId="0" fillId="5" borderId="5" xfId="0" applyFill="1" applyBorder="1" applyAlignment="1">
      <alignment horizontal="left"/>
    </xf>
    <xf numFmtId="0" fontId="0" fillId="5" borderId="5" xfId="0" applyFill="1" applyBorder="1" applyAlignment="1">
      <alignment horizontal="left" vertical="center"/>
    </xf>
    <xf numFmtId="0" fontId="0" fillId="5" borderId="5" xfId="0" applyFill="1" applyBorder="1" applyAlignment="1">
      <alignment horizontal="center"/>
    </xf>
    <xf numFmtId="0" fontId="0" fillId="5" borderId="5" xfId="0" applyFill="1" applyBorder="1"/>
    <xf numFmtId="0" fontId="5" fillId="8" borderId="5" xfId="0" applyFont="1" applyFill="1" applyBorder="1" applyAlignment="1">
      <alignment vertical="center" wrapText="1"/>
    </xf>
    <xf numFmtId="0" fontId="13" fillId="5" borderId="15" xfId="0" applyFont="1" applyFill="1" applyBorder="1" applyAlignment="1">
      <alignment horizontal="center" vertical="center" wrapText="1"/>
    </xf>
    <xf numFmtId="0" fontId="5" fillId="5" borderId="15" xfId="0" applyFont="1" applyFill="1" applyBorder="1" applyAlignment="1">
      <alignment horizontal="left" vertical="center" wrapText="1"/>
    </xf>
    <xf numFmtId="0" fontId="0" fillId="0" borderId="15" xfId="0" applyBorder="1"/>
    <xf numFmtId="0" fontId="13" fillId="8" borderId="15" xfId="0" applyFont="1" applyFill="1" applyBorder="1" applyAlignment="1">
      <alignment vertical="center" wrapText="1"/>
    </xf>
    <xf numFmtId="0" fontId="13" fillId="5" borderId="15" xfId="0" applyFont="1" applyFill="1" applyBorder="1" applyAlignment="1">
      <alignment vertical="center" wrapText="1"/>
    </xf>
    <xf numFmtId="0" fontId="0" fillId="5" borderId="15" xfId="0" applyFill="1" applyBorder="1" applyAlignment="1">
      <alignment horizontal="left"/>
    </xf>
    <xf numFmtId="0" fontId="5" fillId="5" borderId="16" xfId="0" applyFont="1" applyFill="1" applyBorder="1" applyAlignment="1">
      <alignment horizontal="center" vertical="center" wrapText="1"/>
    </xf>
    <xf numFmtId="0" fontId="5" fillId="8" borderId="16" xfId="0" applyFont="1" applyFill="1" applyBorder="1" applyAlignment="1">
      <alignment vertical="center" wrapText="1"/>
    </xf>
    <xf numFmtId="0" fontId="0" fillId="5" borderId="16" xfId="0" applyFill="1" applyBorder="1" applyAlignment="1">
      <alignment horizontal="left"/>
    </xf>
    <xf numFmtId="0" fontId="14" fillId="0" borderId="0" xfId="0" applyFont="1" applyAlignment="1">
      <alignment vertical="center" wrapText="1"/>
    </xf>
    <xf numFmtId="0" fontId="7" fillId="7" borderId="5" xfId="0" applyFont="1" applyFill="1" applyBorder="1" applyAlignment="1">
      <alignment wrapText="1"/>
    </xf>
    <xf numFmtId="0" fontId="5" fillId="0" borderId="5" xfId="0" applyFont="1" applyBorder="1" applyAlignment="1">
      <alignment wrapText="1"/>
    </xf>
    <xf numFmtId="0" fontId="9" fillId="0" borderId="5" xfId="0" applyFont="1" applyBorder="1" applyAlignment="1">
      <alignment wrapText="1"/>
    </xf>
    <xf numFmtId="0" fontId="10" fillId="0" borderId="0" xfId="0" applyFont="1" applyAlignment="1">
      <alignment horizontal="center"/>
    </xf>
    <xf numFmtId="49" fontId="6"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persons/person.xml><?xml version="1.0" encoding="utf-8"?>
<personList xmlns="http://schemas.microsoft.com/office/spreadsheetml/2018/threadedcomments" xmlns:x="http://schemas.openxmlformats.org/spreadsheetml/2006/main">
  <person displayName="P M, Ananth" id="{21C9D56D-E607-4948-B24F-0ACE78560A07}" userId="S::ananth.pm@philips.com::d6ef3b01-9e33-4898-ac73-01a68a28b039" providerId="AD"/>
  <person displayName="S, Shreyas" id="{1064FFF3-C750-484C-B01F-03854A57FA5A}" userId="S::shreyas.s@philips.com::d44c3863-7b8b-43eb-bd16-adbeb567df56" providerId="AD"/>
  <person displayName="Peter, Vidya Cen" id="{4E5CC89A-743A-4733-BEC9-D6F94979537B}" userId="S::vidya.cen@philips.com::b1967ea7-8ae7-48e8-a438-a1d44c8c287b" providerId="AD"/>
  <person displayName="Gujarathi, Govinddas" id="{F7FD1E3D-BC6B-4ACE-8CEE-18CB327A0C29}" userId="S::Govinddas.Gujarathi@philips.com::450521b1-5575-47db-b803-f2dddfd0f1ed" providerId="AD"/>
  <person displayName="Srinivasa Rao, Urukuti" id="{01BC67B7-0CAA-4DFF-AC25-A4D1E328FB29}" userId="S::Urukuti.SrinivasaRao@philips.com::66b389fd-addf-4ed5-a562-5d3a8c320bd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Joshi, Mandar" refreshedDate="46014.482436342594" createdVersion="8" refreshedVersion="8" minRefreshableVersion="3" recordCount="31">
  <cacheSource type="worksheet">
    <worksheetSource ref="A1:H32" sheet="Win10 1607"/>
  </cacheSource>
  <cacheFields count="10">
    <cacheField name="SL No." numFmtId="0">
      <sharedItems containsSemiMixedTypes="0" containsString="0" containsNumber="1" containsInteger="1" minValue="1" maxValue="34"/>
    </cacheField>
    <cacheField name="System Type" numFmtId="0">
      <sharedItems count="10">
        <s v="Dura Diagnost-F30"/>
        <s v="Flexi Diagnost"/>
        <s v="Digital Diagnost C50"/>
        <s v="Dura Diagnost"/>
        <s v="MobileDiagnost"/>
        <s v="Combi Diagnost"/>
        <s v="ProxiDiagnost"/>
        <s v="Precision CRF"/>
        <s v="C90"/>
        <s v="DiDi"/>
      </sharedItems>
    </cacheField>
    <cacheField name="Product Release" numFmtId="0">
      <sharedItems/>
    </cacheField>
    <cacheField name="Release Name" numFmtId="0">
      <sharedItems/>
    </cacheField>
    <cacheField name="AS Version" numFmtId="0">
      <sharedItems/>
    </cacheField>
    <cacheField name="OS Version" numFmtId="0">
      <sharedItems/>
    </cacheField>
    <cacheField name="6 NC" numFmtId="0">
      <sharedItems containsMixedTypes="1" containsNumber="1" containsInteger="1" minValue="706110" maxValue="712214"/>
    </cacheField>
    <cacheField name="EOL" numFmtId="0">
      <sharedItems containsSemiMixedTypes="0" containsString="0" containsNumber="1" containsInteger="1" minValue="2031" maxValue="2035"/>
    </cacheField>
    <cacheField name="EOS" numFmtId="0">
      <sharedItems containsSemiMixedTypes="0" containsString="0" containsNumber="1" containsInteger="1" minValue="2033" maxValue="2037"/>
    </cacheField>
    <cacheField name="Remark"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Joshi, Mandar" refreshedDate="46014.482566435188" createdVersion="8" refreshedVersion="8" minRefreshableVersion="3" recordCount="4">
  <cacheSource type="worksheet">
    <worksheetSource ref="A1:H5" sheet="Win10 1809"/>
  </cacheSource>
  <cacheFields count="6">
    <cacheField name="SL No." numFmtId="0">
      <sharedItems containsSemiMixedTypes="0" containsString="0" containsNumber="1" containsInteger="1" minValue="1" maxValue="4"/>
    </cacheField>
    <cacheField name="Systen Type" numFmtId="0">
      <sharedItems count="2">
        <s v="Digital Diagnost"/>
        <s v="Philips Digital Radiography"/>
      </sharedItems>
    </cacheField>
    <cacheField name="Product Release Name" numFmtId="0">
      <sharedItems/>
    </cacheField>
    <cacheField name="AS Version" numFmtId="0">
      <sharedItems/>
    </cacheField>
    <cacheField name="OS Version" numFmtId="0">
      <sharedItems/>
    </cacheField>
    <cacheField name="6 NC" numFmtId="0">
      <sharedItems containsMixedTypes="1" containsNumber="1" containsInteger="1" minValue="712010" maxValue="71201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Joshi, Mandar" refreshedDate="46018.351261342592" createdVersion="8" refreshedVersion="8" minRefreshableVersion="3" recordCount="16">
  <cacheSource type="worksheet">
    <worksheetSource ref="A1:H17" sheet="Win10 2021"/>
  </cacheSource>
  <cacheFields count="8">
    <cacheField name="SL No." numFmtId="0">
      <sharedItems containsSemiMixedTypes="0" containsString="0" containsNumber="1" containsInteger="1" minValue="1" maxValue="16"/>
    </cacheField>
    <cacheField name="Syetem Type" numFmtId="0">
      <sharedItems count="11">
        <s v="DR7300C"/>
        <s v="C50"/>
        <s v="Dura"/>
        <s v="Flexi"/>
        <s v="DR7000M"/>
        <s v="DiDi"/>
        <s v="ED"/>
        <s v="MD"/>
        <s v="Proxi"/>
        <s v="Combi"/>
        <s v="C90"/>
      </sharedItems>
    </cacheField>
    <cacheField name="SystemType Description" numFmtId="0">
      <sharedItems/>
    </cacheField>
    <cacheField name="Release Name" numFmtId="0">
      <sharedItems/>
    </cacheField>
    <cacheField name="AS Version" numFmtId="0">
      <sharedItems/>
    </cacheField>
    <cacheField name="OS Version" numFmtId="0">
      <sharedItems/>
    </cacheField>
    <cacheField name="6 NC" numFmtId="0">
      <sharedItems containsBlank="1" containsMixedTypes="1" containsNumber="1" containsInteger="1" minValue="706050" maxValue="712214"/>
    </cacheField>
    <cacheField name="Remark"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6"/>
    <x v="0"/>
    <s v="DuraDiagnost – F30 R1.1.2"/>
    <s v="DuraDiagnost-F30 R1.1.2V14.4100.005"/>
    <s v="41.0.551"/>
    <s v="1607.0.12"/>
    <n v="712202"/>
    <n v="2031"/>
    <n v="2033"/>
    <m/>
  </r>
  <r>
    <n v="7"/>
    <x v="1"/>
    <s v="Flexi Diagnost R4.1.1"/>
    <s v="FlexiDiagnost R4.1.1V02.4100.004"/>
    <s v="41.0.336"/>
    <s v="1607.0.8"/>
    <n v="712203"/>
    <n v="2034"/>
    <n v="2036"/>
    <m/>
  </r>
  <r>
    <n v="8"/>
    <x v="1"/>
    <s v="Flexi Diagnost R4.1.2"/>
    <s v="FlexiDiagnost R4.1.2V02.4100.005"/>
    <s v="41.0.551"/>
    <s v="1607.0.12"/>
    <n v="712203"/>
    <n v="2035"/>
    <n v="2037"/>
    <m/>
  </r>
  <r>
    <n v="10"/>
    <x v="2"/>
    <s v="Digital Diagnost C50 1.1.2"/>
    <s v="DigitalDiagnost-C50 R1.1.2V13.4100.005"/>
    <s v="41.0.551"/>
    <s v="1607.0.12"/>
    <n v="712204"/>
    <n v="2034"/>
    <n v="2036"/>
    <m/>
  </r>
  <r>
    <n v="13"/>
    <x v="3"/>
    <s v="DuraDiagnost R4.1.2"/>
    <s v="DuraDiagnost R4.1.2V02.4100.005"/>
    <s v="41.0.551"/>
    <s v="1607.0.12"/>
    <n v="712203"/>
    <n v="2035"/>
    <n v="2037"/>
    <m/>
  </r>
  <r>
    <n v="17"/>
    <x v="4"/>
    <s v="MobileDiagnost wDR 2.2.3"/>
    <s v="MobileDiagnost-wDR R2.2.3V15.4100.010"/>
    <s v="41.0.833"/>
    <s v="1607.0.11"/>
    <s v="712006, 712007"/>
    <n v="2035"/>
    <n v="2037"/>
    <m/>
  </r>
  <r>
    <n v="21"/>
    <x v="5"/>
    <s v="Combi Diagnost R1.1.1(PCF)"/>
    <s v="CombiDiagnost R1.1.1V08.4210.014"/>
    <s v="42.1.013"/>
    <s v="1607.1.2"/>
    <n v="709031"/>
    <n v="2035"/>
    <n v="2037"/>
    <m/>
  </r>
  <r>
    <n v="22"/>
    <x v="5"/>
    <s v="Combi Diagnost R1.1.2(GCF)"/>
    <s v="CombiDiagnost R1.1.2V08.4210.015"/>
    <s v="42.1.013"/>
    <s v="1607.1.2"/>
    <n v="709031"/>
    <n v="2035"/>
    <n v="2037"/>
    <m/>
  </r>
  <r>
    <n v="23"/>
    <x v="6"/>
    <s v="ProxiDiagnost N90 1.1"/>
    <s v="ProxiDiagnost R1.1.1V16.4200.008"/>
    <s v="42.0.450 "/>
    <s v="1607.1.2 / 1607.1.4"/>
    <n v="706110"/>
    <n v="2035"/>
    <n v="2037"/>
    <m/>
  </r>
  <r>
    <n v="25"/>
    <x v="6"/>
    <s v="ProxiDiagnost N90 1.1"/>
    <s v="ProxiDiagnost R1.1.3V16.4230.011"/>
    <s v="42.0.450 "/>
    <s v="1607.1.2 / 1607.1.4"/>
    <n v="706110"/>
    <n v="2035"/>
    <n v="2037"/>
    <m/>
  </r>
  <r>
    <n v="31"/>
    <x v="7"/>
    <s v="Precision CRF R1.0.1"/>
    <s v="Precision CRF R1.0.1V24.4220.008"/>
    <s v="42.2.369"/>
    <s v="1607.1.10"/>
    <n v="706110"/>
    <n v="2035"/>
    <n v="2037"/>
    <m/>
  </r>
  <r>
    <n v="32"/>
    <x v="2"/>
    <s v="Digital Diagnost C50"/>
    <s v="DigitalDiagnost-C50 R1.1.3V13.4100.006"/>
    <s v="41.0.551"/>
    <s v="1607.0.12"/>
    <n v="712204"/>
    <n v="2034"/>
    <n v="2036"/>
    <m/>
  </r>
  <r>
    <n v="1"/>
    <x v="8"/>
    <s v="DigitalDiagnost C90 R1.1"/>
    <s v="DigitalDiagnost C90 R1.1.1V20.4100.018"/>
    <s v="41.0.490"/>
    <s v="1607.0.10"/>
    <s v="712034 / 712035"/>
    <n v="2034"/>
    <n v="2036"/>
    <m/>
  </r>
  <r>
    <n v="2"/>
    <x v="8"/>
    <s v="DigitalDiagnost C90 R1.1.0"/>
    <s v="DigitalDiagnost C90 R1.1.0V20.4100.014"/>
    <s v="41.0.336  "/>
    <s v="1607.0.8 "/>
    <s v="712034 / 712035"/>
    <n v="2034"/>
    <n v="2036"/>
    <m/>
  </r>
  <r>
    <n v="3"/>
    <x v="8"/>
    <s v="DigitalDiagnost C90 R1.0.3"/>
    <s v="DigitalDiagnost C90 R1.0.3V20.4110.001"/>
    <s v="41.1.017"/>
    <s v="1607.0.8"/>
    <s v="712034 / 712035"/>
    <n v="2034"/>
    <n v="2036"/>
    <m/>
  </r>
  <r>
    <n v="4"/>
    <x v="9"/>
    <s v="DigitalDiagnost R4.3"/>
    <s v="DigitalDiagnost R4.3.0V18.4200.006"/>
    <s v="42.0.734"/>
    <s v="1607.1.3"/>
    <s v="712034 / 712035"/>
    <n v="2034"/>
    <n v="2036"/>
    <m/>
  </r>
  <r>
    <n v="5"/>
    <x v="0"/>
    <s v="DuraDiagnost – F30 R1.1.1"/>
    <s v="DuraDiagnost-F30 R1.1.1V14.4100.004"/>
    <s v="41.0.336"/>
    <s v="1607.0.8"/>
    <n v="712202"/>
    <n v="2034"/>
    <n v="2036"/>
    <m/>
  </r>
  <r>
    <n v="9"/>
    <x v="2"/>
    <s v="Digital Diagnost C50 1.1.1"/>
    <s v="DigitalDiagnost-C50 R1.1.1V13.4100.004"/>
    <s v="41.0.336"/>
    <s v="1607.0.8"/>
    <n v="712204"/>
    <n v="2034"/>
    <n v="2036"/>
    <m/>
  </r>
  <r>
    <n v="11"/>
    <x v="3"/>
    <s v="DuraDiagnost R4.0.21"/>
    <s v="DuraDiagnost R4.0.21V02.4100.101"/>
    <s v="41.0.490"/>
    <s v="1607.0.10"/>
    <n v="712214"/>
    <n v="2033"/>
    <n v="2035"/>
    <m/>
  </r>
  <r>
    <n v="12"/>
    <x v="3"/>
    <s v="DuraDiagnost R4.1.1"/>
    <s v="DuraDiagnost R4.1.1V02.4100.004"/>
    <s v="41.0.336"/>
    <s v="1607.0.8"/>
    <n v="712203"/>
    <n v="2035"/>
    <n v="2037"/>
    <m/>
  </r>
  <r>
    <n v="14"/>
    <x v="4"/>
    <s v="MobileDiagnost wDR 2.2.0"/>
    <s v="MobileDiagnost-wDR R2.2.0V15.4100.007"/>
    <s v="41.0.208"/>
    <s v="1607.0.5"/>
    <s v="712006, 712007"/>
    <n v="2035"/>
    <n v="2037"/>
    <m/>
  </r>
  <r>
    <n v="15"/>
    <x v="4"/>
    <s v="MobileDiagnost wDR 2.2.1"/>
    <s v="MobileDiagnost-wDR R2.2.1V15.4100.008"/>
    <s v="41.0.208"/>
    <s v="1607.0.5"/>
    <s v="712006, 712007"/>
    <n v="2035"/>
    <n v="2037"/>
    <m/>
  </r>
  <r>
    <n v="16"/>
    <x v="4"/>
    <s v="MobileDiagnost wDR 2.2.2"/>
    <s v="MobileDiagnost-wDR R2.2.2V15.4100.009"/>
    <s v="41.0.208"/>
    <s v="1607.0.5"/>
    <s v="712006, 712007"/>
    <n v="2035"/>
    <n v="2037"/>
    <m/>
  </r>
  <r>
    <n v="18"/>
    <x v="4"/>
    <s v="MobileDiagnost wDR 2.2.4"/>
    <s v="MobileDiagnost-wDR R2.2.4V15.4100.012"/>
    <s v="41.0.833"/>
    <s v="1607.0.11"/>
    <s v="712006, 712007"/>
    <n v="2035"/>
    <n v="2037"/>
    <m/>
  </r>
  <r>
    <n v="19"/>
    <x v="5"/>
    <s v="CombiDiagnost R90 R1.1.0.1"/>
    <s v="CombiDiagnost R1.1.0.1V08.4200.012"/>
    <s v="42.0.311"/>
    <s v="1607.1.2"/>
    <n v="709031"/>
    <n v="2035"/>
    <n v="2037"/>
    <m/>
  </r>
  <r>
    <n v="20"/>
    <x v="5"/>
    <s v="CombiDiagnost R90 R1.1.0.2"/>
    <s v="CombiDiagnost R1.1.0.2V08.4200.013"/>
    <s v="42.0.311"/>
    <s v="1607.1.2"/>
    <n v="709031"/>
    <n v="2035"/>
    <n v="2037"/>
    <s v="`"/>
  </r>
  <r>
    <n v="27"/>
    <x v="5"/>
    <s v="CombiDiagnost 1.1.4"/>
    <s v="CombiDiagnost R1.1.4V08.4200.018"/>
    <s v="42.0.848"/>
    <s v="1607.1.10 - DI2_x000a_1607.1.9 - DI"/>
    <n v="709031"/>
    <n v="2035"/>
    <n v="2037"/>
    <m/>
  </r>
  <r>
    <n v="28"/>
    <x v="5"/>
    <s v="CombiDiagnost 1.1.5"/>
    <s v="CombiDiagnost R1.1.5V08.4230.019"/>
    <s v="42.3.026"/>
    <s v="1607.1.10 - DI2_x000a_1607.1.9 - DI"/>
    <n v="709031"/>
    <n v="2035"/>
    <n v="2037"/>
    <m/>
  </r>
  <r>
    <n v="30"/>
    <x v="8"/>
    <s v="DigitalDiagnost C90 R1.1.2"/>
    <s v="DigitalDiagnost C90 R1.1.2V20.4100.021"/>
    <s v="41.0.551"/>
    <s v="1607.0.12"/>
    <s v="712034 / 712035"/>
    <n v="2034"/>
    <n v="2036"/>
    <m/>
  </r>
  <r>
    <n v="33"/>
    <x v="8"/>
    <s v="DigitalDiagnost C90 R1.0.1"/>
    <s v="DigitalDiagnost C90 R1.0.1V20.4100.007"/>
    <s v="41.0.194"/>
    <s v="1607.0.5"/>
    <s v="712034 / 712035"/>
    <n v="2034"/>
    <n v="2036"/>
    <m/>
  </r>
  <r>
    <n v="34"/>
    <x v="8"/>
    <s v="DigitalDiagnost C90 R1.0.2"/>
    <s v="DigitalDiagnost C90 R1.0.2V20.4100.008"/>
    <s v="41.0.194"/>
    <s v="1607.0.5"/>
    <s v="712034 / 712035"/>
    <n v="2034"/>
    <n v="2036"/>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
    <x v="0"/>
    <s v="DigitalDiagnost C90 R1.1.3V20.4200.007"/>
    <s v="42.0.1183"/>
    <s v="1809.2.3"/>
    <s v="712034, 712035"/>
  </r>
  <r>
    <n v="2"/>
    <x v="0"/>
    <s v="DigitalDiagnost C90 R1.1.6V20.4240.004"/>
    <s v="42.4.434"/>
    <s v="1809.2.4"/>
    <s v="712034, 712035"/>
  </r>
  <r>
    <n v="3"/>
    <x v="0"/>
    <s v="DigitalDiagnost R4.3.1V18.4240.004"/>
    <s v="42.4.434"/>
    <s v="1809.2.4"/>
    <s v="712031, 712032, 712033"/>
  </r>
  <r>
    <n v="4"/>
    <x v="1"/>
    <s v="Radiography_7000_M R1.0.0V22.4300.006"/>
    <s v="43.0.854"/>
    <s v="1809.3.5"/>
    <n v="7120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
    <x v="0"/>
    <s v="Radiography_7300C R1.0.0"/>
    <s v="Radiography_7300C R1.0.0V27.4200.005"/>
    <s v="42.0.2335"/>
    <s v="2021.2.7"/>
    <n v="712037"/>
    <m/>
  </r>
  <r>
    <n v="2"/>
    <x v="0"/>
    <s v="Radiography_7300C R1.0.1"/>
    <s v="Radiography_7300C R1.0.1v27.4270.004"/>
    <s v="42.7.679"/>
    <s v="2021.2.20"/>
    <n v="712037"/>
    <m/>
  </r>
  <r>
    <n v="3"/>
    <x v="1"/>
    <s v="DigitalDiagnost C50 1.1"/>
    <s v="DigitalDiagnost-C50 R1.1.4V13.4270.002"/>
    <s v="42.7.544"/>
    <s v="2021.2.16/2021.2.17"/>
    <n v="712204"/>
    <m/>
  </r>
  <r>
    <n v="4"/>
    <x v="2"/>
    <s v="DuraDiagnost R4.1"/>
    <s v="DuraDiagnost R4.1.3V02.4270.002"/>
    <s v="42.7.544"/>
    <s v="2021.2.16/2021.2.17"/>
    <n v="712203"/>
    <m/>
  </r>
  <r>
    <n v="5"/>
    <x v="3"/>
    <s v="FlexiDiagnost R4.1"/>
    <s v="FlexiDiagnost R4.1.3V02.4270.002"/>
    <s v="42.7.544"/>
    <s v="2021.2.16/2021.2.17"/>
    <m/>
    <m/>
  </r>
  <r>
    <n v="6"/>
    <x v="2"/>
    <s v="DuraDiagnost F30 1.1"/>
    <s v="DuraDiagnost-F30 R1.1.3V14.4270.001"/>
    <s v="42.7.544"/>
    <s v="2021.2.16/2021.2.17"/>
    <n v="712202"/>
    <m/>
  </r>
  <r>
    <n v="7"/>
    <x v="2"/>
    <s v="DuraDiagnost R4.0"/>
    <s v="DuraDiagnost R4.0.22V02.4270.001"/>
    <s v="42.7.544"/>
    <s v="2021.2.16/2021.2.17"/>
    <n v="712214"/>
    <m/>
  </r>
  <r>
    <n v="8"/>
    <x v="4"/>
    <s v="DR 7000 M 1.0.1"/>
    <s v="Radiography_7000_M R1.0.1V22.4300.009"/>
    <s v="43.0.1229"/>
    <s v="2021.3.1"/>
    <n v="712010"/>
    <m/>
  </r>
  <r>
    <n v="9"/>
    <x v="5"/>
    <s v="DigitalDiagnost R3.3"/>
    <s v="DigitalDiagnost R3.3.0V01.4260.006"/>
    <s v="42.6.659"/>
    <s v="2021.2.7"/>
    <s v="712026 ?"/>
    <s v="From Project 10"/>
  </r>
  <r>
    <n v="10"/>
    <x v="6"/>
    <s v="EasyDiagnost Eleva R5.2"/>
    <s v="EasyDiagnost R5.2.0V11.4260.006"/>
    <s v="42.6.659"/>
    <s v="2021.2.7"/>
    <n v="706050"/>
    <s v="From Project 10"/>
  </r>
  <r>
    <n v="11"/>
    <x v="7"/>
    <s v="MobileDiagnost wDR 2.2.5"/>
    <s v="MobileDiagnost-wDR R2.2.5V15.4270.005"/>
    <s v="42.7.544"/>
    <s v="2021.2.11"/>
    <s v="712006, 712007"/>
    <m/>
  </r>
  <r>
    <n v="12"/>
    <x v="8"/>
    <s v="ProxiDiagnost N90 1.1.4"/>
    <s v="ProxiDiagnost R1.1.4V16.4270.006"/>
    <s v="42.7.664"/>
    <s v="Operating System AWS DI2 2021.2.14_x000a_Operating System AWS DI2-A 2021.2.15"/>
    <n v="706110"/>
    <s v="Latest"/>
  </r>
  <r>
    <n v="13"/>
    <x v="9"/>
    <s v="Combi Diagnost R90 1.1.7"/>
    <s v="CombiDiagnost R1.1.7V08.4270.006"/>
    <s v="42.7.664_x000a_(Is it same for both DI2 and DI2-A?)"/>
    <s v="2021.2.14 (For DI2) /_x000a_2021.2.15 (For DI2-A)"/>
    <n v="709031"/>
    <s v="Latest"/>
  </r>
  <r>
    <n v="14"/>
    <x v="10"/>
    <s v="C90 R1.1.7"/>
    <s v="DigitalDiagnost C90 R1.1.7V20.4270.008"/>
    <s v="42.7.544"/>
    <s v="2021.2.16/2021.2.17"/>
    <s v="712034, 712035"/>
    <m/>
  </r>
  <r>
    <n v="15"/>
    <x v="5"/>
    <s v="DiDi R4.3.2"/>
    <s v="DigitalDiagnost R4.3.2V18.4270.005"/>
    <s v="42.7.544"/>
    <s v="2021.2.16 /2021.2.17"/>
    <s v="712031, 712032, 712033"/>
    <m/>
  </r>
  <r>
    <n v="16"/>
    <x v="10"/>
    <s v="C90 R1.1.8"/>
    <s v="DigitalDiagnost C90 R1.1.8 V20.4270.010"/>
    <s v="42.7.679"/>
    <s v="2021.2.20"/>
    <s v="712034, 71203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showAll="0"/>
    <pivotField axis="axisRow" dataField="1" showAll="0">
      <items count="11">
        <item x="8"/>
        <item x="5"/>
        <item x="2"/>
        <item x="3"/>
        <item x="0"/>
        <item x="1"/>
        <item x="4"/>
        <item x="7"/>
        <item x="6"/>
        <item x="9"/>
        <item t="default"/>
      </items>
    </pivotField>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System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6">
    <pivotField showAll="0"/>
    <pivotField axis="axisRow" dataField="1" showAll="0">
      <items count="3">
        <item x="0"/>
        <item x="1"/>
        <item t="default"/>
      </items>
    </pivotField>
    <pivotField showAll="0"/>
    <pivotField showAll="0"/>
    <pivotField showAll="0"/>
    <pivotField showAll="0"/>
  </pivotFields>
  <rowFields count="1">
    <field x="1"/>
  </rowFields>
  <rowItems count="3">
    <i>
      <x/>
    </i>
    <i>
      <x v="1"/>
    </i>
    <i t="grand">
      <x/>
    </i>
  </rowItems>
  <colItems count="1">
    <i/>
  </colItems>
  <dataFields count="1">
    <dataField name="Count of Systen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8">
    <pivotField showAll="0"/>
    <pivotField axis="axisRow" dataField="1" showAll="0">
      <items count="12">
        <item x="1"/>
        <item x="10"/>
        <item x="9"/>
        <item x="5"/>
        <item x="4"/>
        <item x="0"/>
        <item x="2"/>
        <item x="6"/>
        <item x="3"/>
        <item x="7"/>
        <item x="8"/>
        <item t="default"/>
      </items>
    </pivotField>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Count of Syetem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5" dT="2026-06-26T05:21:18.47" personId="{F7FD1E3D-BC6B-4ACE-8CEE-18CB327A0C29}" id="{CD952589-8D9F-4664-A934-DED18BB5818D}">
    <text>Review completed</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6-06-26T09:48:25.31" personId="{4E5CC89A-743A-4733-BEC9-D6F94979537B}" id="{EA089250-C365-4A1F-A51B-28727377109D}">
    <text>Review Completed</text>
  </threadedComment>
  <threadedComment ref="E6" dT="2026-06-26T07:20:27.22" personId="{21C9D56D-E607-4948-B24F-0ACE78560A07}" id="{382D00F9-FFB1-4FD0-AF6A-6838154D16E5}">
    <text>Review completed</text>
  </threadedComment>
  <threadedComment ref="F6" dT="2026-06-29T07:07:23.06" personId="{01BC67B7-0CAA-4DFF-AC25-A4D1E328FB29}" id="{67FA450D-35B9-43A4-9497-637EA09896A0}">
    <text xml:space="preserve">Review completed </text>
  </threadedComment>
  <threadedComment ref="E7" dT="2026-06-26T07:22:57.56" personId="{1064FFF3-C750-484C-B01F-03854A57FA5A}" id="{9CDA5AB4-221E-420A-829E-3F0045B4FEF7}">
    <text>Review Completed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
  <sheetViews>
    <sheetView zoomScaleNormal="100" workbookViewId="0">
      <selection activeCell="B17" sqref="B17"/>
    </sheetView>
  </sheetViews>
  <sheetFormatPr defaultColWidth="9.1796875" defaultRowHeight="14.5" x14ac:dyDescent="0.35"/>
  <cols>
    <col min="1" max="1" width="101" style="27" customWidth="1"/>
    <col min="2" max="2" width="25.453125" style="27" customWidth="1"/>
    <col min="3" max="3" width="9.1796875" style="27"/>
    <col min="4" max="4" width="25" style="27" customWidth="1"/>
    <col min="5" max="16384" width="9.1796875" style="27"/>
  </cols>
  <sheetData>
    <row r="2" spans="1:4" ht="18.5" x14ac:dyDescent="0.45">
      <c r="A2" s="30" t="s">
        <v>0</v>
      </c>
    </row>
    <row r="3" spans="1:4" ht="82.5" customHeight="1" x14ac:dyDescent="0.35">
      <c r="A3" s="28" t="s">
        <v>1</v>
      </c>
    </row>
    <row r="4" spans="1:4" x14ac:dyDescent="0.35">
      <c r="A4" s="29"/>
    </row>
    <row r="5" spans="1:4" ht="18.5" x14ac:dyDescent="0.45">
      <c r="A5" s="30" t="s">
        <v>2</v>
      </c>
    </row>
    <row r="6" spans="1:4" ht="201" customHeight="1" x14ac:dyDescent="0.35">
      <c r="A6" s="72" t="s">
        <v>3</v>
      </c>
    </row>
    <row r="7" spans="1:4" x14ac:dyDescent="0.35">
      <c r="A7" s="28"/>
    </row>
    <row r="8" spans="1:4" ht="18.5" x14ac:dyDescent="0.45">
      <c r="A8" s="30" t="s">
        <v>4</v>
      </c>
    </row>
    <row r="9" spans="1:4" x14ac:dyDescent="0.35">
      <c r="A9" s="53" t="s">
        <v>5</v>
      </c>
      <c r="B9" s="54" t="s">
        <v>6</v>
      </c>
      <c r="C9" s="73" t="s">
        <v>7</v>
      </c>
      <c r="D9" s="73"/>
    </row>
    <row r="10" spans="1:4" ht="29.25" customHeight="1" x14ac:dyDescent="0.35">
      <c r="A10" s="48" t="s">
        <v>8</v>
      </c>
      <c r="B10" s="50" t="s">
        <v>9</v>
      </c>
      <c r="C10" s="74" t="s">
        <v>10</v>
      </c>
      <c r="D10" s="74"/>
    </row>
    <row r="11" spans="1:4" x14ac:dyDescent="0.35">
      <c r="A11" s="74" t="s">
        <v>11</v>
      </c>
      <c r="B11" s="50" t="s">
        <v>12</v>
      </c>
      <c r="C11" s="75" t="s">
        <v>10</v>
      </c>
      <c r="D11" s="75"/>
    </row>
    <row r="12" spans="1:4" x14ac:dyDescent="0.35">
      <c r="A12" s="74"/>
      <c r="B12" s="50" t="s">
        <v>13</v>
      </c>
      <c r="C12" s="75"/>
      <c r="D12" s="75"/>
    </row>
    <row r="13" spans="1:4" x14ac:dyDescent="0.35">
      <c r="A13" s="74"/>
      <c r="B13" s="50" t="s">
        <v>14</v>
      </c>
      <c r="C13" s="75"/>
      <c r="D13" s="75"/>
    </row>
    <row r="14" spans="1:4" x14ac:dyDescent="0.35">
      <c r="A14" s="74"/>
      <c r="B14" s="50" t="s">
        <v>15</v>
      </c>
      <c r="C14" s="75"/>
      <c r="D14" s="75"/>
    </row>
  </sheetData>
  <mergeCells count="4">
    <mergeCell ref="C9:D9"/>
    <mergeCell ref="C10:D10"/>
    <mergeCell ref="A11:A14"/>
    <mergeCell ref="C11:D14"/>
  </mergeCells>
  <pageMargins left="0.70866141732283505" right="0.70866141732283505" top="0.74803149606299202" bottom="0.74803149606299202" header="0.31496062992126" footer="0.31496062992126"/>
  <pageSetup orientation="portrait" r:id="rId1"/>
  <headerFooter>
    <oddHeader xml:space="preserve">&amp;L&amp;9&amp;G&amp;C&amp;"-,Bold"IB System Release Versions&amp;RIB System Release Versions
Document Id : D002330536, Rev C   </oddHeader>
    <oddFooter>&amp;LARIS Template ID: 2009001092
ARIS Template Version: 2&amp;CPhilips Information Classification: Internal
Printed copies are uncontrolled unless authenticated&amp;R&amp;P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topLeftCell="A81" zoomScaleNormal="100" workbookViewId="0">
      <selection activeCell="B30" sqref="B30"/>
    </sheetView>
  </sheetViews>
  <sheetFormatPr defaultColWidth="8.7265625" defaultRowHeight="14.5" x14ac:dyDescent="0.35"/>
  <cols>
    <col min="1" max="1" width="8.7265625" style="10"/>
    <col min="2" max="2" width="23.54296875" style="5" customWidth="1"/>
    <col min="3" max="3" width="28.1796875" style="57" customWidth="1"/>
    <col min="4" max="4" width="37.1796875" style="57" customWidth="1"/>
    <col min="5" max="5" width="15.453125" style="57" customWidth="1"/>
    <col min="6" max="6" width="18.453125" style="57" customWidth="1"/>
    <col min="7" max="7" width="19.81640625" style="57" customWidth="1"/>
    <col min="8" max="8" width="34.26953125" style="57" customWidth="1"/>
    <col min="9" max="16384" width="8.7265625" style="5"/>
  </cols>
  <sheetData>
    <row r="1" spans="1:8" x14ac:dyDescent="0.35">
      <c r="A1" s="18" t="s">
        <v>16</v>
      </c>
      <c r="B1" s="55" t="s">
        <v>17</v>
      </c>
      <c r="C1" s="56" t="s">
        <v>18</v>
      </c>
      <c r="D1" s="56" t="s">
        <v>19</v>
      </c>
      <c r="E1" s="56" t="s">
        <v>20</v>
      </c>
      <c r="F1" s="56" t="s">
        <v>21</v>
      </c>
      <c r="G1" s="56" t="s">
        <v>22</v>
      </c>
      <c r="H1" s="56" t="s">
        <v>23</v>
      </c>
    </row>
    <row r="2" spans="1:8" x14ac:dyDescent="0.35">
      <c r="A2" s="19">
        <v>1</v>
      </c>
      <c r="B2" s="21" t="s">
        <v>24</v>
      </c>
      <c r="C2" s="20" t="s">
        <v>25</v>
      </c>
      <c r="D2" s="20" t="s">
        <v>26</v>
      </c>
      <c r="E2" s="22" t="s">
        <v>27</v>
      </c>
      <c r="F2" s="22" t="s">
        <v>28</v>
      </c>
      <c r="G2" s="22" t="s">
        <v>29</v>
      </c>
      <c r="H2" s="20">
        <v>712202</v>
      </c>
    </row>
    <row r="3" spans="1:8" x14ac:dyDescent="0.35">
      <c r="A3" s="19">
        <v>2</v>
      </c>
      <c r="B3" s="21" t="s">
        <v>30</v>
      </c>
      <c r="C3" s="20" t="s">
        <v>31</v>
      </c>
      <c r="D3" s="20" t="s">
        <v>32</v>
      </c>
      <c r="E3" s="22" t="s">
        <v>33</v>
      </c>
      <c r="F3" s="22" t="s">
        <v>34</v>
      </c>
      <c r="G3" s="22" t="s">
        <v>29</v>
      </c>
      <c r="H3" s="20">
        <v>712203</v>
      </c>
    </row>
    <row r="4" spans="1:8" x14ac:dyDescent="0.35">
      <c r="A4" s="19">
        <v>3</v>
      </c>
      <c r="B4" s="21" t="s">
        <v>30</v>
      </c>
      <c r="C4" s="20" t="s">
        <v>35</v>
      </c>
      <c r="D4" s="20" t="s">
        <v>36</v>
      </c>
      <c r="E4" s="22" t="s">
        <v>27</v>
      </c>
      <c r="F4" s="22" t="s">
        <v>37</v>
      </c>
      <c r="G4" s="22" t="s">
        <v>29</v>
      </c>
      <c r="H4" s="20">
        <v>712203</v>
      </c>
    </row>
    <row r="5" spans="1:8" x14ac:dyDescent="0.35">
      <c r="A5" s="19">
        <v>4</v>
      </c>
      <c r="B5" s="21" t="s">
        <v>38</v>
      </c>
      <c r="C5" s="20" t="s">
        <v>39</v>
      </c>
      <c r="D5" s="20" t="s">
        <v>40</v>
      </c>
      <c r="E5" s="22" t="s">
        <v>27</v>
      </c>
      <c r="F5" s="22" t="s">
        <v>37</v>
      </c>
      <c r="G5" s="22" t="s">
        <v>29</v>
      </c>
      <c r="H5" s="20">
        <v>712204</v>
      </c>
    </row>
    <row r="6" spans="1:8" x14ac:dyDescent="0.35">
      <c r="A6" s="19">
        <v>5</v>
      </c>
      <c r="B6" s="22" t="s">
        <v>41</v>
      </c>
      <c r="C6" s="23" t="s">
        <v>42</v>
      </c>
      <c r="D6" s="23" t="s">
        <v>43</v>
      </c>
      <c r="E6" s="22" t="s">
        <v>27</v>
      </c>
      <c r="F6" s="22" t="s">
        <v>37</v>
      </c>
      <c r="G6" s="22" t="s">
        <v>29</v>
      </c>
      <c r="H6" s="20">
        <v>712203</v>
      </c>
    </row>
    <row r="7" spans="1:8" x14ac:dyDescent="0.35">
      <c r="A7" s="19">
        <v>6</v>
      </c>
      <c r="B7" s="21" t="s">
        <v>44</v>
      </c>
      <c r="C7" s="20" t="s">
        <v>45</v>
      </c>
      <c r="D7" s="20" t="s">
        <v>46</v>
      </c>
      <c r="E7" s="20" t="s">
        <v>47</v>
      </c>
      <c r="F7" s="20" t="s">
        <v>48</v>
      </c>
      <c r="G7" s="20" t="s">
        <v>49</v>
      </c>
      <c r="H7" s="20" t="s">
        <v>50</v>
      </c>
    </row>
    <row r="8" spans="1:8" ht="29" x14ac:dyDescent="0.35">
      <c r="A8" s="19">
        <v>7</v>
      </c>
      <c r="B8" s="21" t="s">
        <v>51</v>
      </c>
      <c r="C8" s="20" t="s">
        <v>52</v>
      </c>
      <c r="D8" s="20" t="s">
        <v>53</v>
      </c>
      <c r="E8" s="22" t="s">
        <v>54</v>
      </c>
      <c r="F8" s="22" t="s">
        <v>55</v>
      </c>
      <c r="G8" s="22" t="s">
        <v>56</v>
      </c>
      <c r="H8" s="20">
        <v>709031</v>
      </c>
    </row>
    <row r="9" spans="1:8" ht="29" x14ac:dyDescent="0.35">
      <c r="A9" s="19">
        <v>8</v>
      </c>
      <c r="B9" s="21" t="s">
        <v>51</v>
      </c>
      <c r="C9" s="20" t="s">
        <v>57</v>
      </c>
      <c r="D9" s="20" t="s">
        <v>58</v>
      </c>
      <c r="E9" s="22" t="s">
        <v>54</v>
      </c>
      <c r="F9" s="22" t="s">
        <v>55</v>
      </c>
      <c r="G9" s="22" t="s">
        <v>56</v>
      </c>
      <c r="H9" s="20">
        <v>709031</v>
      </c>
    </row>
    <row r="10" spans="1:8" ht="72.5" x14ac:dyDescent="0.35">
      <c r="A10" s="19">
        <v>9</v>
      </c>
      <c r="B10" s="21" t="s">
        <v>59</v>
      </c>
      <c r="C10" s="20" t="s">
        <v>60</v>
      </c>
      <c r="D10" s="20" t="s">
        <v>61</v>
      </c>
      <c r="E10" s="24" t="s">
        <v>62</v>
      </c>
      <c r="F10" s="24" t="s">
        <v>63</v>
      </c>
      <c r="G10" s="24" t="s">
        <v>64</v>
      </c>
      <c r="H10" s="20">
        <v>706100</v>
      </c>
    </row>
    <row r="11" spans="1:8" ht="29" x14ac:dyDescent="0.35">
      <c r="A11" s="19">
        <v>10</v>
      </c>
      <c r="B11" s="21" t="s">
        <v>59</v>
      </c>
      <c r="C11" s="20" t="s">
        <v>60</v>
      </c>
      <c r="D11" s="20" t="s">
        <v>65</v>
      </c>
      <c r="E11" s="24" t="s">
        <v>62</v>
      </c>
      <c r="F11" s="24" t="s">
        <v>66</v>
      </c>
      <c r="G11" s="24" t="s">
        <v>67</v>
      </c>
      <c r="H11" s="20">
        <v>706110</v>
      </c>
    </row>
    <row r="12" spans="1:8" ht="29" x14ac:dyDescent="0.35">
      <c r="A12" s="19">
        <v>11</v>
      </c>
      <c r="B12" s="21" t="s">
        <v>68</v>
      </c>
      <c r="C12" s="20" t="s">
        <v>69</v>
      </c>
      <c r="D12" s="20" t="s">
        <v>70</v>
      </c>
      <c r="E12" s="22" t="s">
        <v>71</v>
      </c>
      <c r="F12" s="22" t="s">
        <v>72</v>
      </c>
      <c r="G12" s="22" t="s">
        <v>73</v>
      </c>
      <c r="H12" s="20">
        <v>706110</v>
      </c>
    </row>
    <row r="13" spans="1:8" x14ac:dyDescent="0.35">
      <c r="A13" s="19">
        <v>12</v>
      </c>
      <c r="B13" s="21" t="s">
        <v>38</v>
      </c>
      <c r="C13" s="20" t="s">
        <v>74</v>
      </c>
      <c r="D13" s="20" t="s">
        <v>75</v>
      </c>
      <c r="E13" s="22" t="s">
        <v>27</v>
      </c>
      <c r="F13" s="22" t="s">
        <v>37</v>
      </c>
      <c r="G13" s="22" t="s">
        <v>29</v>
      </c>
      <c r="H13" s="20">
        <v>712204</v>
      </c>
    </row>
    <row r="14" spans="1:8" x14ac:dyDescent="0.35">
      <c r="A14" s="19">
        <v>13</v>
      </c>
      <c r="B14" s="21" t="s">
        <v>76</v>
      </c>
      <c r="C14" s="20" t="s">
        <v>77</v>
      </c>
      <c r="D14" s="20" t="s">
        <v>78</v>
      </c>
      <c r="E14" s="25" t="s">
        <v>79</v>
      </c>
      <c r="F14" s="20" t="s">
        <v>80</v>
      </c>
      <c r="G14" s="20" t="s">
        <v>29</v>
      </c>
      <c r="H14" s="20" t="s">
        <v>81</v>
      </c>
    </row>
    <row r="15" spans="1:8" x14ac:dyDescent="0.35">
      <c r="A15" s="19">
        <v>14</v>
      </c>
      <c r="B15" s="21" t="s">
        <v>76</v>
      </c>
      <c r="C15" s="20" t="s">
        <v>82</v>
      </c>
      <c r="D15" s="20" t="s">
        <v>83</v>
      </c>
      <c r="E15" s="20" t="s">
        <v>84</v>
      </c>
      <c r="F15" s="20" t="s">
        <v>85</v>
      </c>
      <c r="G15" s="20" t="s">
        <v>29</v>
      </c>
      <c r="H15" s="20" t="s">
        <v>81</v>
      </c>
    </row>
    <row r="16" spans="1:8" x14ac:dyDescent="0.35">
      <c r="A16" s="19">
        <v>15</v>
      </c>
      <c r="B16" s="21" t="s">
        <v>76</v>
      </c>
      <c r="C16" s="20" t="s">
        <v>86</v>
      </c>
      <c r="D16" s="20" t="s">
        <v>87</v>
      </c>
      <c r="E16" s="20" t="s">
        <v>88</v>
      </c>
      <c r="F16" s="20" t="s">
        <v>85</v>
      </c>
      <c r="G16" s="20" t="s">
        <v>29</v>
      </c>
      <c r="H16" s="20" t="s">
        <v>81</v>
      </c>
    </row>
    <row r="17" spans="1:8" x14ac:dyDescent="0.35">
      <c r="A17" s="19">
        <v>16</v>
      </c>
      <c r="B17" s="21" t="s">
        <v>89</v>
      </c>
      <c r="C17" s="20" t="s">
        <v>90</v>
      </c>
      <c r="D17" s="20" t="s">
        <v>91</v>
      </c>
      <c r="E17" s="20" t="s">
        <v>92</v>
      </c>
      <c r="F17" s="20" t="s">
        <v>93</v>
      </c>
      <c r="G17" s="20" t="s">
        <v>94</v>
      </c>
      <c r="H17" s="20" t="s">
        <v>81</v>
      </c>
    </row>
    <row r="18" spans="1:8" x14ac:dyDescent="0.35">
      <c r="A18" s="19">
        <v>17</v>
      </c>
      <c r="B18" s="21" t="s">
        <v>24</v>
      </c>
      <c r="C18" s="20" t="s">
        <v>95</v>
      </c>
      <c r="D18" s="20" t="s">
        <v>96</v>
      </c>
      <c r="E18" s="20" t="s">
        <v>33</v>
      </c>
      <c r="F18" s="20" t="s">
        <v>85</v>
      </c>
      <c r="G18" s="20" t="s">
        <v>29</v>
      </c>
      <c r="H18" s="20">
        <v>712202</v>
      </c>
    </row>
    <row r="19" spans="1:8" x14ac:dyDescent="0.35">
      <c r="A19" s="19">
        <v>18</v>
      </c>
      <c r="B19" s="21" t="s">
        <v>38</v>
      </c>
      <c r="C19" s="20" t="s">
        <v>97</v>
      </c>
      <c r="D19" s="20" t="s">
        <v>98</v>
      </c>
      <c r="E19" s="20" t="s">
        <v>33</v>
      </c>
      <c r="F19" s="20" t="s">
        <v>85</v>
      </c>
      <c r="G19" s="20" t="s">
        <v>29</v>
      </c>
      <c r="H19" s="20">
        <v>712204</v>
      </c>
    </row>
    <row r="20" spans="1:8" x14ac:dyDescent="0.35">
      <c r="A20" s="19">
        <v>19</v>
      </c>
      <c r="B20" s="22" t="s">
        <v>41</v>
      </c>
      <c r="C20" s="23" t="s">
        <v>99</v>
      </c>
      <c r="D20" s="23" t="s">
        <v>100</v>
      </c>
      <c r="E20" s="20" t="s">
        <v>79</v>
      </c>
      <c r="F20" s="20" t="s">
        <v>80</v>
      </c>
      <c r="G20" s="20" t="s">
        <v>29</v>
      </c>
      <c r="H20" s="20">
        <v>712214</v>
      </c>
    </row>
    <row r="21" spans="1:8" x14ac:dyDescent="0.35">
      <c r="A21" s="19">
        <v>20</v>
      </c>
      <c r="B21" s="22" t="s">
        <v>41</v>
      </c>
      <c r="C21" s="23" t="s">
        <v>101</v>
      </c>
      <c r="D21" s="23" t="s">
        <v>102</v>
      </c>
      <c r="E21" s="20" t="s">
        <v>33</v>
      </c>
      <c r="F21" s="20" t="s">
        <v>85</v>
      </c>
      <c r="G21" s="20" t="s">
        <v>29</v>
      </c>
      <c r="H21" s="20">
        <v>712203</v>
      </c>
    </row>
    <row r="22" spans="1:8" ht="32.5" customHeight="1" x14ac:dyDescent="0.35">
      <c r="A22" s="19">
        <v>21</v>
      </c>
      <c r="B22" s="21" t="s">
        <v>44</v>
      </c>
      <c r="C22" s="20" t="s">
        <v>103</v>
      </c>
      <c r="D22" s="20" t="s">
        <v>104</v>
      </c>
      <c r="E22" s="20" t="s">
        <v>47</v>
      </c>
      <c r="F22" s="20" t="s">
        <v>105</v>
      </c>
      <c r="G22" s="20" t="s">
        <v>49</v>
      </c>
      <c r="H22" s="20" t="s">
        <v>50</v>
      </c>
    </row>
    <row r="23" spans="1:8" x14ac:dyDescent="0.35">
      <c r="A23" s="19">
        <v>22</v>
      </c>
      <c r="B23" s="21" t="s">
        <v>44</v>
      </c>
      <c r="C23" s="20" t="s">
        <v>106</v>
      </c>
      <c r="D23" s="20" t="s">
        <v>107</v>
      </c>
      <c r="E23" s="20" t="s">
        <v>47</v>
      </c>
      <c r="F23" s="20" t="s">
        <v>105</v>
      </c>
      <c r="G23" s="20" t="s">
        <v>49</v>
      </c>
      <c r="H23" s="20" t="s">
        <v>50</v>
      </c>
    </row>
    <row r="24" spans="1:8" x14ac:dyDescent="0.35">
      <c r="A24" s="19">
        <v>23</v>
      </c>
      <c r="B24" s="21" t="s">
        <v>44</v>
      </c>
      <c r="C24" s="20" t="s">
        <v>108</v>
      </c>
      <c r="D24" s="20" t="s">
        <v>109</v>
      </c>
      <c r="E24" s="20" t="s">
        <v>47</v>
      </c>
      <c r="F24" s="20" t="s">
        <v>105</v>
      </c>
      <c r="G24" s="20" t="s">
        <v>49</v>
      </c>
      <c r="H24" s="20" t="s">
        <v>50</v>
      </c>
    </row>
    <row r="25" spans="1:8" x14ac:dyDescent="0.35">
      <c r="A25" s="19">
        <v>24</v>
      </c>
      <c r="B25" s="21" t="s">
        <v>44</v>
      </c>
      <c r="C25" s="20" t="s">
        <v>110</v>
      </c>
      <c r="D25" s="20" t="s">
        <v>111</v>
      </c>
      <c r="E25" s="20" t="s">
        <v>112</v>
      </c>
      <c r="F25" s="20" t="s">
        <v>48</v>
      </c>
      <c r="G25" s="20" t="s">
        <v>49</v>
      </c>
      <c r="H25" s="20" t="s">
        <v>50</v>
      </c>
    </row>
    <row r="26" spans="1:8" ht="29" x14ac:dyDescent="0.35">
      <c r="A26" s="19">
        <v>25</v>
      </c>
      <c r="B26" s="21" t="s">
        <v>51</v>
      </c>
      <c r="C26" s="20" t="s">
        <v>113</v>
      </c>
      <c r="D26" s="20" t="s">
        <v>114</v>
      </c>
      <c r="E26" s="20" t="s">
        <v>115</v>
      </c>
      <c r="F26" s="20" t="s">
        <v>55</v>
      </c>
      <c r="G26" s="20" t="s">
        <v>116</v>
      </c>
      <c r="H26" s="20">
        <v>709031</v>
      </c>
    </row>
    <row r="27" spans="1:8" x14ac:dyDescent="0.35">
      <c r="A27" s="19">
        <v>26</v>
      </c>
      <c r="B27" s="21" t="s">
        <v>51</v>
      </c>
      <c r="C27" s="20" t="s">
        <v>117</v>
      </c>
      <c r="D27" s="20" t="s">
        <v>118</v>
      </c>
      <c r="E27" s="20" t="s">
        <v>115</v>
      </c>
      <c r="F27" s="20" t="s">
        <v>119</v>
      </c>
      <c r="G27" s="20" t="s">
        <v>120</v>
      </c>
      <c r="H27" s="20">
        <v>709031</v>
      </c>
    </row>
    <row r="28" spans="1:8" ht="29" x14ac:dyDescent="0.35">
      <c r="A28" s="19">
        <v>27</v>
      </c>
      <c r="B28" s="21" t="s">
        <v>51</v>
      </c>
      <c r="C28" s="20" t="s">
        <v>121</v>
      </c>
      <c r="D28" s="20" t="s">
        <v>122</v>
      </c>
      <c r="E28" s="20" t="s">
        <v>123</v>
      </c>
      <c r="F28" s="20" t="s">
        <v>124</v>
      </c>
      <c r="G28" s="20" t="s">
        <v>125</v>
      </c>
      <c r="H28" s="20">
        <v>709031</v>
      </c>
    </row>
    <row r="29" spans="1:8" ht="29" x14ac:dyDescent="0.35">
      <c r="A29" s="19">
        <v>28</v>
      </c>
      <c r="B29" s="21" t="s">
        <v>51</v>
      </c>
      <c r="C29" s="20" t="s">
        <v>126</v>
      </c>
      <c r="D29" s="20" t="s">
        <v>127</v>
      </c>
      <c r="E29" s="20" t="s">
        <v>128</v>
      </c>
      <c r="F29" s="20" t="s">
        <v>124</v>
      </c>
      <c r="G29" s="20" t="s">
        <v>129</v>
      </c>
      <c r="H29" s="20">
        <v>709031</v>
      </c>
    </row>
    <row r="30" spans="1:8" x14ac:dyDescent="0.35">
      <c r="A30" s="19">
        <v>29</v>
      </c>
      <c r="B30" s="21" t="s">
        <v>76</v>
      </c>
      <c r="C30" s="20" t="s">
        <v>130</v>
      </c>
      <c r="D30" s="20" t="s">
        <v>131</v>
      </c>
      <c r="E30" s="20" t="s">
        <v>27</v>
      </c>
      <c r="F30" s="20" t="s">
        <v>37</v>
      </c>
      <c r="G30" s="20" t="s">
        <v>29</v>
      </c>
      <c r="H30" s="20" t="s">
        <v>81</v>
      </c>
    </row>
    <row r="31" spans="1:8" x14ac:dyDescent="0.35">
      <c r="A31" s="19">
        <v>30</v>
      </c>
      <c r="B31" s="21" t="s">
        <v>76</v>
      </c>
      <c r="C31" s="20" t="s">
        <v>132</v>
      </c>
      <c r="D31" s="20" t="s">
        <v>133</v>
      </c>
      <c r="E31" s="25" t="s">
        <v>134</v>
      </c>
      <c r="F31" s="20" t="s">
        <v>105</v>
      </c>
      <c r="G31" s="20" t="s">
        <v>29</v>
      </c>
      <c r="H31" s="20" t="s">
        <v>81</v>
      </c>
    </row>
    <row r="32" spans="1:8" x14ac:dyDescent="0.35">
      <c r="A32" s="19">
        <v>31</v>
      </c>
      <c r="B32" s="21" t="s">
        <v>76</v>
      </c>
      <c r="C32" s="20" t="s">
        <v>135</v>
      </c>
      <c r="D32" s="20" t="s">
        <v>136</v>
      </c>
      <c r="E32" s="25" t="s">
        <v>134</v>
      </c>
      <c r="F32" s="20" t="s">
        <v>137</v>
      </c>
      <c r="G32" s="20" t="s">
        <v>29</v>
      </c>
      <c r="H32" s="20" t="s">
        <v>81</v>
      </c>
    </row>
  </sheetData>
  <autoFilter ref="A1:H32"/>
  <pageMargins left="0.70866141732283505" right="0.70866141732283505" top="0.74803149606299202" bottom="0.74803149606299202" header="0.31496062992126" footer="0.31496062992126"/>
  <pageSetup orientation="portrait" r:id="rId1"/>
  <headerFooter>
    <oddHeader>&amp;L&amp;G&amp;C&amp;"-,Bold"IB System Release Versions&amp;RIB System Release Versions
Document Id : D002330536, Rev A</oddHeader>
    <oddFooter>&amp;LARIS Template ID: 2009001092
ARIS Template Version: 2&amp;CPhilips Information Classification: Internal
Printed copies are uncontrolled unless authenticated&amp;R&amp;P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zoomScaleNormal="100" workbookViewId="0">
      <selection activeCell="C5" sqref="C5"/>
    </sheetView>
  </sheetViews>
  <sheetFormatPr defaultRowHeight="14.5" x14ac:dyDescent="0.35"/>
  <cols>
    <col min="1" max="1" width="8.7265625" style="8"/>
    <col min="2" max="3" width="24.81640625" customWidth="1"/>
    <col min="4" max="4" width="37.1796875" customWidth="1"/>
    <col min="5" max="5" width="16.1796875" customWidth="1"/>
    <col min="6" max="7" width="13.81640625" style="8" customWidth="1"/>
    <col min="8" max="8" width="20.81640625" bestFit="1" customWidth="1"/>
  </cols>
  <sheetData>
    <row r="1" spans="1:8" x14ac:dyDescent="0.35">
      <c r="A1" s="31" t="s">
        <v>16</v>
      </c>
      <c r="B1" s="32" t="s">
        <v>17</v>
      </c>
      <c r="C1" s="32" t="s">
        <v>18</v>
      </c>
      <c r="D1" s="32" t="s">
        <v>138</v>
      </c>
      <c r="E1" s="33" t="s">
        <v>20</v>
      </c>
      <c r="F1" s="33" t="s">
        <v>21</v>
      </c>
      <c r="G1" s="49" t="s">
        <v>22</v>
      </c>
      <c r="H1" s="34" t="s">
        <v>23</v>
      </c>
    </row>
    <row r="2" spans="1:8" x14ac:dyDescent="0.35">
      <c r="A2" s="10">
        <v>1</v>
      </c>
      <c r="B2" s="7" t="s">
        <v>139</v>
      </c>
      <c r="C2" s="7" t="s">
        <v>140</v>
      </c>
      <c r="D2" s="5" t="s">
        <v>141</v>
      </c>
      <c r="E2" s="6" t="s">
        <v>142</v>
      </c>
      <c r="F2" s="6" t="s">
        <v>143</v>
      </c>
      <c r="G2" s="6" t="s">
        <v>29</v>
      </c>
      <c r="H2" s="5" t="s">
        <v>144</v>
      </c>
    </row>
    <row r="3" spans="1:8" x14ac:dyDescent="0.35">
      <c r="A3" s="10">
        <v>2</v>
      </c>
      <c r="B3" s="7" t="s">
        <v>139</v>
      </c>
      <c r="C3" s="7" t="s">
        <v>145</v>
      </c>
      <c r="D3" s="5" t="s">
        <v>146</v>
      </c>
      <c r="E3" s="6" t="s">
        <v>147</v>
      </c>
      <c r="F3" s="6" t="s">
        <v>148</v>
      </c>
      <c r="G3" s="6" t="s">
        <v>29</v>
      </c>
      <c r="H3" s="5" t="s">
        <v>144</v>
      </c>
    </row>
    <row r="4" spans="1:8" x14ac:dyDescent="0.35">
      <c r="A4" s="10">
        <v>3</v>
      </c>
      <c r="B4" s="7" t="s">
        <v>139</v>
      </c>
      <c r="C4" s="7" t="s">
        <v>149</v>
      </c>
      <c r="D4" s="5" t="s">
        <v>150</v>
      </c>
      <c r="E4" s="6" t="s">
        <v>147</v>
      </c>
      <c r="F4" s="6" t="s">
        <v>148</v>
      </c>
      <c r="G4" s="6" t="s">
        <v>29</v>
      </c>
      <c r="H4" s="5" t="s">
        <v>151</v>
      </c>
    </row>
    <row r="5" spans="1:8" ht="29" x14ac:dyDescent="0.35">
      <c r="A5" s="10">
        <v>4</v>
      </c>
      <c r="B5" s="7" t="s">
        <v>152</v>
      </c>
      <c r="C5" s="7" t="s">
        <v>153</v>
      </c>
      <c r="D5" s="5" t="s">
        <v>154</v>
      </c>
      <c r="E5" s="6" t="s">
        <v>155</v>
      </c>
      <c r="F5" s="6" t="s">
        <v>156</v>
      </c>
      <c r="G5" s="6" t="s">
        <v>157</v>
      </c>
      <c r="H5" s="5">
        <v>712010</v>
      </c>
    </row>
    <row r="8" spans="1:8" x14ac:dyDescent="0.35">
      <c r="D8" s="11"/>
    </row>
    <row r="9" spans="1:8" x14ac:dyDescent="0.35">
      <c r="D9" s="11"/>
    </row>
  </sheetData>
  <autoFilter ref="A1:H5"/>
  <pageMargins left="0.70866141732283505" right="0.70866141732283505" top="0.74803149606299202" bottom="0.74803149606299202" header="0.31496062992126" footer="0.31496062992126"/>
  <pageSetup orientation="portrait" r:id="rId1"/>
  <headerFooter>
    <oddHeader>&amp;L&amp;G&amp;C&amp;"-,Bold"IB System Release Versions&amp;RIB System Release Versions
Document Id : D002330536, Rev A</oddHeader>
    <oddFooter>&amp;LARIS Template ID: 2009001092
ARIS Template Version: 2&amp;CPhilips Information Classification: Internal
Printed copies are uncontrolled unless authenticated&amp;R&amp;P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tabSelected="1" topLeftCell="E12" zoomScaleNormal="100" workbookViewId="0">
      <selection activeCell="J32" sqref="J32"/>
    </sheetView>
  </sheetViews>
  <sheetFormatPr defaultRowHeight="15" customHeight="1" x14ac:dyDescent="0.35"/>
  <cols>
    <col min="2" max="2" width="16.7265625" style="9" customWidth="1"/>
    <col min="3" max="3" width="24.81640625" customWidth="1"/>
    <col min="4" max="4" width="44.453125" bestFit="1" customWidth="1"/>
    <col min="5" max="5" width="16.54296875" customWidth="1"/>
    <col min="6" max="7" width="21.26953125" customWidth="1"/>
    <col min="8" max="8" width="24" style="9" customWidth="1"/>
    <col min="11" max="11" width="18.81640625" customWidth="1"/>
  </cols>
  <sheetData>
    <row r="1" spans="1:11" ht="14.5" x14ac:dyDescent="0.35">
      <c r="A1" s="18" t="s">
        <v>16</v>
      </c>
      <c r="B1" s="56" t="s">
        <v>17</v>
      </c>
      <c r="C1" s="55" t="s">
        <v>158</v>
      </c>
      <c r="D1" s="55" t="s">
        <v>19</v>
      </c>
      <c r="E1" s="55" t="s">
        <v>20</v>
      </c>
      <c r="F1" s="55" t="s">
        <v>21</v>
      </c>
      <c r="G1" s="55" t="s">
        <v>159</v>
      </c>
      <c r="H1" s="56" t="s">
        <v>23</v>
      </c>
    </row>
    <row r="2" spans="1:11" ht="14.5" x14ac:dyDescent="0.35">
      <c r="A2" s="19">
        <v>1</v>
      </c>
      <c r="B2" s="20" t="s">
        <v>160</v>
      </c>
      <c r="C2" s="21" t="s">
        <v>161</v>
      </c>
      <c r="D2" s="21" t="s">
        <v>162</v>
      </c>
      <c r="E2" s="21" t="s">
        <v>163</v>
      </c>
      <c r="F2" s="21" t="s">
        <v>164</v>
      </c>
      <c r="G2" s="21" t="s">
        <v>165</v>
      </c>
      <c r="H2" s="58" t="s">
        <v>166</v>
      </c>
    </row>
    <row r="3" spans="1:11" ht="32.25" customHeight="1" x14ac:dyDescent="0.35">
      <c r="A3" s="19">
        <v>2</v>
      </c>
      <c r="B3" s="20" t="s">
        <v>160</v>
      </c>
      <c r="C3" s="21" t="s">
        <v>167</v>
      </c>
      <c r="D3" s="21" t="s">
        <v>168</v>
      </c>
      <c r="E3" s="21" t="s">
        <v>169</v>
      </c>
      <c r="F3" s="21" t="s">
        <v>170</v>
      </c>
      <c r="G3" s="21" t="s">
        <v>165</v>
      </c>
      <c r="H3" s="58" t="s">
        <v>166</v>
      </c>
    </row>
    <row r="4" spans="1:11" ht="29" x14ac:dyDescent="0.35">
      <c r="A4" s="19">
        <v>3</v>
      </c>
      <c r="B4" s="20" t="s">
        <v>171</v>
      </c>
      <c r="C4" s="21" t="s">
        <v>172</v>
      </c>
      <c r="D4" s="21" t="s">
        <v>173</v>
      </c>
      <c r="E4" s="21" t="s">
        <v>174</v>
      </c>
      <c r="F4" s="21" t="s">
        <v>175</v>
      </c>
      <c r="G4" s="21" t="s">
        <v>176</v>
      </c>
      <c r="H4" s="58">
        <v>712204</v>
      </c>
    </row>
    <row r="5" spans="1:11" ht="29" x14ac:dyDescent="0.35">
      <c r="A5" s="19">
        <v>4</v>
      </c>
      <c r="B5" s="20" t="s">
        <v>177</v>
      </c>
      <c r="C5" s="21" t="s">
        <v>178</v>
      </c>
      <c r="D5" s="21" t="s">
        <v>179</v>
      </c>
      <c r="E5" s="21" t="s">
        <v>174</v>
      </c>
      <c r="F5" s="21" t="s">
        <v>180</v>
      </c>
      <c r="G5" s="21" t="s">
        <v>176</v>
      </c>
      <c r="H5" s="58">
        <v>712203</v>
      </c>
    </row>
    <row r="6" spans="1:11" ht="29" x14ac:dyDescent="0.35">
      <c r="A6" s="19">
        <v>5</v>
      </c>
      <c r="B6" s="20" t="s">
        <v>181</v>
      </c>
      <c r="C6" s="21" t="s">
        <v>182</v>
      </c>
      <c r="D6" s="21" t="s">
        <v>183</v>
      </c>
      <c r="E6" s="21" t="s">
        <v>174</v>
      </c>
      <c r="F6" s="21" t="s">
        <v>180</v>
      </c>
      <c r="G6" s="21" t="s">
        <v>176</v>
      </c>
      <c r="H6" s="58">
        <v>712203</v>
      </c>
    </row>
    <row r="7" spans="1:11" ht="29" x14ac:dyDescent="0.35">
      <c r="A7" s="19">
        <v>6</v>
      </c>
      <c r="B7" s="20" t="s">
        <v>177</v>
      </c>
      <c r="C7" s="21" t="s">
        <v>184</v>
      </c>
      <c r="D7" s="21" t="s">
        <v>185</v>
      </c>
      <c r="E7" s="21" t="s">
        <v>174</v>
      </c>
      <c r="F7" s="21" t="s">
        <v>186</v>
      </c>
      <c r="G7" s="21" t="s">
        <v>176</v>
      </c>
      <c r="H7" s="58">
        <v>712202</v>
      </c>
    </row>
    <row r="8" spans="1:11" ht="29" x14ac:dyDescent="0.35">
      <c r="A8" s="19">
        <v>7</v>
      </c>
      <c r="B8" s="20" t="s">
        <v>177</v>
      </c>
      <c r="C8" s="21" t="s">
        <v>187</v>
      </c>
      <c r="D8" s="21" t="s">
        <v>188</v>
      </c>
      <c r="E8" s="21" t="s">
        <v>174</v>
      </c>
      <c r="F8" s="21" t="s">
        <v>189</v>
      </c>
      <c r="G8" s="21" t="s">
        <v>176</v>
      </c>
      <c r="H8" s="58">
        <v>712214</v>
      </c>
    </row>
    <row r="9" spans="1:11" ht="14.5" x14ac:dyDescent="0.35">
      <c r="A9" s="19">
        <v>8</v>
      </c>
      <c r="B9" s="20" t="s">
        <v>190</v>
      </c>
      <c r="C9" s="21" t="s">
        <v>191</v>
      </c>
      <c r="D9" s="21" t="s">
        <v>192</v>
      </c>
      <c r="E9" s="21" t="s">
        <v>193</v>
      </c>
      <c r="F9" s="21" t="s">
        <v>194</v>
      </c>
      <c r="G9" s="21" t="s">
        <v>195</v>
      </c>
      <c r="H9" s="58">
        <v>712010</v>
      </c>
    </row>
    <row r="10" spans="1:11" ht="14.5" x14ac:dyDescent="0.35">
      <c r="A10" s="19">
        <v>9</v>
      </c>
      <c r="B10" s="20" t="s">
        <v>89</v>
      </c>
      <c r="C10" s="21" t="s">
        <v>196</v>
      </c>
      <c r="D10" s="21" t="s">
        <v>197</v>
      </c>
      <c r="E10" s="21" t="s">
        <v>198</v>
      </c>
      <c r="F10" s="21" t="s">
        <v>199</v>
      </c>
      <c r="G10" s="21" t="s">
        <v>165</v>
      </c>
      <c r="H10" s="58">
        <v>712026</v>
      </c>
    </row>
    <row r="11" spans="1:11" ht="14.5" x14ac:dyDescent="0.35">
      <c r="A11" s="19">
        <v>10</v>
      </c>
      <c r="B11" s="20" t="s">
        <v>200</v>
      </c>
      <c r="C11" s="21" t="s">
        <v>201</v>
      </c>
      <c r="D11" s="21" t="s">
        <v>202</v>
      </c>
      <c r="E11" s="21" t="s">
        <v>198</v>
      </c>
      <c r="F11" s="21" t="s">
        <v>164</v>
      </c>
      <c r="G11" s="21" t="s">
        <v>165</v>
      </c>
      <c r="H11" s="58">
        <v>706050</v>
      </c>
    </row>
    <row r="12" spans="1:11" ht="14.5" x14ac:dyDescent="0.35">
      <c r="A12" s="19">
        <v>11</v>
      </c>
      <c r="B12" s="20" t="s">
        <v>203</v>
      </c>
      <c r="C12" s="21" t="s">
        <v>204</v>
      </c>
      <c r="D12" s="21" t="s">
        <v>205</v>
      </c>
      <c r="E12" s="21" t="s">
        <v>174</v>
      </c>
      <c r="F12" s="21" t="s">
        <v>206</v>
      </c>
      <c r="G12" s="21" t="s">
        <v>207</v>
      </c>
      <c r="H12" s="59" t="s">
        <v>50</v>
      </c>
      <c r="K12" s="47"/>
    </row>
    <row r="13" spans="1:11" ht="29" x14ac:dyDescent="0.35">
      <c r="A13" s="19">
        <v>12</v>
      </c>
      <c r="B13" s="20" t="s">
        <v>208</v>
      </c>
      <c r="C13" s="21" t="s">
        <v>209</v>
      </c>
      <c r="D13" s="21" t="s">
        <v>210</v>
      </c>
      <c r="E13" s="21" t="s">
        <v>211</v>
      </c>
      <c r="F13" s="21" t="s">
        <v>212</v>
      </c>
      <c r="G13" s="21" t="s">
        <v>213</v>
      </c>
      <c r="H13" s="58">
        <v>706110</v>
      </c>
    </row>
    <row r="14" spans="1:11" ht="29" x14ac:dyDescent="0.35">
      <c r="A14" s="19">
        <v>13</v>
      </c>
      <c r="B14" s="20" t="s">
        <v>214</v>
      </c>
      <c r="C14" s="21" t="s">
        <v>215</v>
      </c>
      <c r="D14" s="21" t="s">
        <v>216</v>
      </c>
      <c r="E14" s="21" t="s">
        <v>217</v>
      </c>
      <c r="F14" s="21" t="s">
        <v>218</v>
      </c>
      <c r="G14" s="21" t="s">
        <v>213</v>
      </c>
      <c r="H14" s="58">
        <v>709031</v>
      </c>
    </row>
    <row r="15" spans="1:11" ht="29" x14ac:dyDescent="0.35">
      <c r="A15" s="19">
        <v>14</v>
      </c>
      <c r="B15" s="20" t="s">
        <v>76</v>
      </c>
      <c r="C15" s="21" t="s">
        <v>219</v>
      </c>
      <c r="D15" s="21" t="s">
        <v>220</v>
      </c>
      <c r="E15" s="21" t="s">
        <v>174</v>
      </c>
      <c r="F15" s="48" t="s">
        <v>221</v>
      </c>
      <c r="G15" s="48" t="s">
        <v>222</v>
      </c>
      <c r="H15" s="58" t="s">
        <v>144</v>
      </c>
    </row>
    <row r="16" spans="1:11" ht="29" x14ac:dyDescent="0.35">
      <c r="A16" s="19">
        <v>15</v>
      </c>
      <c r="B16" s="20" t="s">
        <v>89</v>
      </c>
      <c r="C16" s="21" t="s">
        <v>223</v>
      </c>
      <c r="D16" s="21" t="s">
        <v>224</v>
      </c>
      <c r="E16" s="21" t="s">
        <v>174</v>
      </c>
      <c r="F16" s="21" t="s">
        <v>225</v>
      </c>
      <c r="G16" s="21" t="s">
        <v>226</v>
      </c>
      <c r="H16" s="58" t="s">
        <v>151</v>
      </c>
    </row>
    <row r="17" spans="1:8" ht="14.5" x14ac:dyDescent="0.35">
      <c r="A17" s="60">
        <v>16</v>
      </c>
      <c r="B17" s="58" t="s">
        <v>76</v>
      </c>
      <c r="C17" s="61" t="s">
        <v>227</v>
      </c>
      <c r="D17" s="61" t="s">
        <v>228</v>
      </c>
      <c r="E17" s="61" t="s">
        <v>169</v>
      </c>
      <c r="F17" s="61" t="s">
        <v>170</v>
      </c>
      <c r="G17" s="61" t="s">
        <v>165</v>
      </c>
      <c r="H17" s="62" t="s">
        <v>229</v>
      </c>
    </row>
    <row r="18" spans="1:8" ht="15" customHeight="1" x14ac:dyDescent="0.35">
      <c r="A18" s="19">
        <v>17</v>
      </c>
      <c r="B18" s="58" t="s">
        <v>190</v>
      </c>
      <c r="C18" s="58" t="s">
        <v>230</v>
      </c>
      <c r="D18" s="58" t="s">
        <v>231</v>
      </c>
      <c r="E18" s="58" t="s">
        <v>232</v>
      </c>
      <c r="F18" s="58" t="s">
        <v>233</v>
      </c>
      <c r="G18" s="21" t="s">
        <v>195</v>
      </c>
      <c r="H18" s="58">
        <v>712010</v>
      </c>
    </row>
    <row r="19" spans="1:8" ht="15" customHeight="1" x14ac:dyDescent="0.35">
      <c r="A19" s="19">
        <v>18</v>
      </c>
      <c r="B19" s="58" t="s">
        <v>190</v>
      </c>
      <c r="C19" s="58" t="s">
        <v>234</v>
      </c>
      <c r="D19" s="58" t="s">
        <v>235</v>
      </c>
      <c r="E19" s="58" t="s">
        <v>236</v>
      </c>
      <c r="F19" s="58" t="s">
        <v>237</v>
      </c>
      <c r="G19" s="21" t="s">
        <v>195</v>
      </c>
      <c r="H19" s="58" t="s">
        <v>238</v>
      </c>
    </row>
    <row r="20" spans="1:8" ht="14.5" x14ac:dyDescent="0.35">
      <c r="A20" s="19">
        <v>19</v>
      </c>
      <c r="B20" s="62" t="s">
        <v>160</v>
      </c>
      <c r="C20" s="62" t="s">
        <v>239</v>
      </c>
      <c r="D20" s="62" t="s">
        <v>240</v>
      </c>
      <c r="E20" s="62" t="s">
        <v>241</v>
      </c>
      <c r="F20" s="62" t="s">
        <v>170</v>
      </c>
      <c r="G20" s="21" t="s">
        <v>165</v>
      </c>
      <c r="H20" s="58" t="s">
        <v>166</v>
      </c>
    </row>
    <row r="21" spans="1:8" ht="29" x14ac:dyDescent="0.35">
      <c r="A21" s="19">
        <v>20</v>
      </c>
      <c r="B21" s="62" t="s">
        <v>76</v>
      </c>
      <c r="C21" s="62" t="s">
        <v>242</v>
      </c>
      <c r="D21" s="62" t="s">
        <v>243</v>
      </c>
      <c r="E21" s="62" t="s">
        <v>241</v>
      </c>
      <c r="F21" s="62" t="s">
        <v>244</v>
      </c>
      <c r="G21" s="21" t="s">
        <v>245</v>
      </c>
      <c r="H21" s="62" t="s">
        <v>144</v>
      </c>
    </row>
    <row r="22" spans="1:8" ht="14.5" x14ac:dyDescent="0.35">
      <c r="A22" s="19">
        <v>21</v>
      </c>
      <c r="B22" s="62" t="s">
        <v>76</v>
      </c>
      <c r="C22" s="62" t="s">
        <v>246</v>
      </c>
      <c r="D22" s="62" t="s">
        <v>247</v>
      </c>
      <c r="E22" s="62" t="s">
        <v>241</v>
      </c>
      <c r="F22" s="62" t="s">
        <v>170</v>
      </c>
      <c r="G22" s="62" t="s">
        <v>248</v>
      </c>
      <c r="H22" s="62" t="s">
        <v>229</v>
      </c>
    </row>
    <row r="23" spans="1:8" ht="29" x14ac:dyDescent="0.35">
      <c r="A23" s="19">
        <v>22</v>
      </c>
      <c r="B23" s="62" t="s">
        <v>214</v>
      </c>
      <c r="C23" s="62" t="s">
        <v>249</v>
      </c>
      <c r="D23" s="62" t="s">
        <v>250</v>
      </c>
      <c r="E23" s="62" t="s">
        <v>241</v>
      </c>
      <c r="F23" s="62" t="s">
        <v>251</v>
      </c>
      <c r="G23" s="62" t="s">
        <v>252</v>
      </c>
      <c r="H23" s="58">
        <v>709031</v>
      </c>
    </row>
    <row r="24" spans="1:8" ht="29" x14ac:dyDescent="0.35">
      <c r="A24" s="69">
        <v>23</v>
      </c>
      <c r="B24" s="70" t="s">
        <v>208</v>
      </c>
      <c r="C24" s="70" t="s">
        <v>253</v>
      </c>
      <c r="D24" s="70" t="s">
        <v>254</v>
      </c>
      <c r="E24" s="70" t="s">
        <v>241</v>
      </c>
      <c r="F24" s="70" t="s">
        <v>251</v>
      </c>
      <c r="G24" s="70" t="s">
        <v>252</v>
      </c>
      <c r="H24" s="71">
        <v>706110</v>
      </c>
    </row>
    <row r="25" spans="1:8" ht="29" x14ac:dyDescent="0.35">
      <c r="A25" s="63">
        <v>24</v>
      </c>
      <c r="B25" s="64" t="s">
        <v>89</v>
      </c>
      <c r="C25" s="65" t="s">
        <v>255</v>
      </c>
      <c r="D25" s="65" t="s">
        <v>256</v>
      </c>
      <c r="E25" s="66" t="s">
        <v>241</v>
      </c>
      <c r="F25" s="66" t="s">
        <v>225</v>
      </c>
      <c r="G25" s="67" t="s">
        <v>245</v>
      </c>
      <c r="H25" s="68" t="s">
        <v>151</v>
      </c>
    </row>
  </sheetData>
  <autoFilter ref="A1:K25"/>
  <pageMargins left="0.70866141732283505" right="0.70866141732283505" top="0.74803149606299202" bottom="0.74803149606299202" header="0.31496062992126" footer="0.31496062992126"/>
  <pageSetup orientation="portrait" r:id="rId1"/>
  <headerFooter>
    <oddHeader>&amp;L&amp;G&amp;C&amp;"-,Bold"IB System Release Versions&amp;RIB System Release Versions
Document Id : D002330536, Rev A</oddHeader>
    <oddFooter>&amp;LARIS Template ID: 2009001092
ARIS Template Version: 2&amp;CPhilips Information Classification: Internal
Printed copies are uncontrolled unless authenticated&amp;R&amp;P of &amp;N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J26" sqref="J26"/>
    </sheetView>
  </sheetViews>
  <sheetFormatPr defaultRowHeight="14.5" x14ac:dyDescent="0.35"/>
  <cols>
    <col min="2" max="2" width="14" customWidth="1"/>
    <col min="3" max="3" width="10" style="8" customWidth="1"/>
    <col min="4" max="4" width="12" style="8" hidden="1" customWidth="1"/>
    <col min="5" max="5" width="12" hidden="1" customWidth="1"/>
  </cols>
  <sheetData>
    <row r="1" spans="1:10" ht="18.5" x14ac:dyDescent="0.45">
      <c r="A1" s="76" t="s">
        <v>257</v>
      </c>
      <c r="B1" s="76"/>
      <c r="C1" s="76"/>
      <c r="D1" s="76"/>
      <c r="E1" s="76"/>
      <c r="F1" s="76"/>
      <c r="G1" s="76"/>
    </row>
    <row r="2" spans="1:10" ht="15" thickBot="1" x14ac:dyDescent="0.4"/>
    <row r="3" spans="1:10" x14ac:dyDescent="0.35">
      <c r="B3" s="39" t="s">
        <v>258</v>
      </c>
      <c r="C3" s="40" t="s">
        <v>259</v>
      </c>
      <c r="D3" s="35" t="s">
        <v>260</v>
      </c>
      <c r="E3" s="15" t="s">
        <v>261</v>
      </c>
    </row>
    <row r="4" spans="1:10" x14ac:dyDescent="0.35">
      <c r="B4" s="41" t="s">
        <v>262</v>
      </c>
      <c r="C4" s="42">
        <v>16</v>
      </c>
      <c r="D4" s="36">
        <v>9</v>
      </c>
      <c r="E4" s="10">
        <f>C4-D4</f>
        <v>7</v>
      </c>
    </row>
    <row r="5" spans="1:10" x14ac:dyDescent="0.35">
      <c r="B5" s="41" t="s">
        <v>263</v>
      </c>
      <c r="C5" s="42">
        <v>4</v>
      </c>
      <c r="D5" s="36">
        <v>4</v>
      </c>
      <c r="E5" s="10">
        <f t="shared" ref="E5:E6" si="0">C5-D5</f>
        <v>0</v>
      </c>
    </row>
    <row r="6" spans="1:10" x14ac:dyDescent="0.35">
      <c r="B6" s="41" t="s">
        <v>264</v>
      </c>
      <c r="C6" s="42">
        <v>31</v>
      </c>
      <c r="D6" s="36">
        <v>26</v>
      </c>
      <c r="E6" s="10">
        <f t="shared" si="0"/>
        <v>5</v>
      </c>
      <c r="J6" s="8"/>
    </row>
    <row r="7" spans="1:10" x14ac:dyDescent="0.35">
      <c r="B7" s="43" t="s">
        <v>265</v>
      </c>
      <c r="C7" s="44">
        <f>SUM(C4:C6)</f>
        <v>51</v>
      </c>
      <c r="D7" s="37">
        <f t="shared" ref="D7:E7" si="1">SUM(D4:D6)</f>
        <v>39</v>
      </c>
      <c r="E7" s="16">
        <f t="shared" si="1"/>
        <v>12</v>
      </c>
      <c r="J7" s="8"/>
    </row>
    <row r="8" spans="1:10" x14ac:dyDescent="0.35">
      <c r="B8" s="41" t="s">
        <v>266</v>
      </c>
      <c r="C8" s="42"/>
      <c r="D8" s="36">
        <v>91</v>
      </c>
      <c r="E8" s="10">
        <f>C8-D8</f>
        <v>-91</v>
      </c>
    </row>
    <row r="9" spans="1:10" x14ac:dyDescent="0.35">
      <c r="B9" s="41" t="s">
        <v>267</v>
      </c>
      <c r="C9" s="42"/>
      <c r="D9" s="36">
        <v>98</v>
      </c>
      <c r="E9" s="10">
        <f>C9-D9</f>
        <v>-98</v>
      </c>
    </row>
    <row r="10" spans="1:10" x14ac:dyDescent="0.35">
      <c r="B10" s="43" t="s">
        <v>265</v>
      </c>
      <c r="C10" s="44">
        <f>SUM(C8:C9)</f>
        <v>0</v>
      </c>
      <c r="D10" s="37">
        <f t="shared" ref="D10:E10" si="2">SUM(D8:D9)</f>
        <v>189</v>
      </c>
      <c r="E10" s="16">
        <f t="shared" si="2"/>
        <v>-189</v>
      </c>
    </row>
    <row r="11" spans="1:10" ht="15" thickBot="1" x14ac:dyDescent="0.4">
      <c r="B11" s="45" t="s">
        <v>268</v>
      </c>
      <c r="C11" s="46">
        <f>C7+C10</f>
        <v>51</v>
      </c>
      <c r="D11" s="38">
        <f t="shared" ref="D11:E11" si="3">D7+D10</f>
        <v>228</v>
      </c>
      <c r="E11" s="17">
        <f t="shared" si="3"/>
        <v>-177</v>
      </c>
    </row>
  </sheetData>
  <mergeCells count="1">
    <mergeCell ref="A1:G1"/>
  </mergeCells>
  <pageMargins left="0.7" right="0.7" top="0.75" bottom="0.75" header="0.3" footer="0.3"/>
  <ignoredErrors>
    <ignoredError sqref="E7"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3"/>
  <sheetViews>
    <sheetView showGridLines="0" showWhiteSpace="0" zoomScale="70" zoomScaleNormal="70" zoomScaleSheetLayoutView="55" workbookViewId="0">
      <selection activeCell="E6" sqref="E6"/>
    </sheetView>
  </sheetViews>
  <sheetFormatPr defaultColWidth="8.7265625" defaultRowHeight="14.5" x14ac:dyDescent="0.35"/>
  <cols>
    <col min="1" max="1" width="8.7265625" customWidth="1"/>
    <col min="2" max="2" width="16.453125" customWidth="1"/>
    <col min="3" max="3" width="24.81640625" customWidth="1"/>
    <col min="4" max="4" width="29.81640625" customWidth="1"/>
    <col min="5" max="5" width="25.453125" customWidth="1"/>
  </cols>
  <sheetData>
    <row r="2" spans="1:7" ht="19" thickBot="1" x14ac:dyDescent="0.4">
      <c r="A2" s="4" t="s">
        <v>269</v>
      </c>
      <c r="B2" s="1"/>
      <c r="C2" s="1"/>
      <c r="D2" s="1"/>
      <c r="E2" s="1"/>
      <c r="F2" s="1"/>
      <c r="G2" s="1"/>
    </row>
    <row r="3" spans="1:7" ht="44" thickBot="1" x14ac:dyDescent="0.4">
      <c r="A3" s="51" t="s">
        <v>270</v>
      </c>
      <c r="B3" s="52" t="s">
        <v>271</v>
      </c>
      <c r="C3" s="52" t="s">
        <v>8</v>
      </c>
      <c r="D3" s="52" t="s">
        <v>272</v>
      </c>
      <c r="E3" s="52" t="s">
        <v>273</v>
      </c>
      <c r="F3" s="1"/>
      <c r="G3" s="1"/>
    </row>
    <row r="4" spans="1:7" ht="15" thickBot="1" x14ac:dyDescent="0.4">
      <c r="A4" s="12" t="s">
        <v>274</v>
      </c>
      <c r="B4" s="26">
        <v>46036</v>
      </c>
      <c r="C4" s="13" t="s">
        <v>275</v>
      </c>
      <c r="D4" s="13" t="s">
        <v>276</v>
      </c>
      <c r="E4" s="13" t="s">
        <v>276</v>
      </c>
      <c r="F4" s="1"/>
      <c r="G4" s="1"/>
    </row>
    <row r="5" spans="1:7" ht="73" thickBot="1" x14ac:dyDescent="0.4">
      <c r="A5" s="12" t="s">
        <v>277</v>
      </c>
      <c r="B5" s="26">
        <v>46073</v>
      </c>
      <c r="C5" s="13" t="s">
        <v>275</v>
      </c>
      <c r="D5" s="13" t="s">
        <v>276</v>
      </c>
      <c r="E5" s="13" t="s">
        <v>278</v>
      </c>
      <c r="F5" s="1"/>
      <c r="G5" s="1"/>
    </row>
    <row r="6" spans="1:7" ht="217.5" x14ac:dyDescent="0.35">
      <c r="A6" s="12" t="s">
        <v>279</v>
      </c>
      <c r="B6" s="26">
        <v>46191</v>
      </c>
      <c r="C6" s="13" t="s">
        <v>275</v>
      </c>
      <c r="D6" s="13" t="s">
        <v>276</v>
      </c>
      <c r="E6" s="13" t="s">
        <v>280</v>
      </c>
      <c r="F6" s="1"/>
      <c r="G6" s="1"/>
    </row>
    <row r="7" spans="1:7" x14ac:dyDescent="0.35">
      <c r="A7" s="1"/>
      <c r="B7" s="1"/>
      <c r="C7" s="1"/>
      <c r="D7" s="1"/>
      <c r="E7" s="1"/>
      <c r="F7" s="1"/>
      <c r="G7" s="1"/>
    </row>
    <row r="8" spans="1:7" ht="76.150000000000006" customHeight="1" x14ac:dyDescent="0.35">
      <c r="A8" s="77"/>
      <c r="B8" s="77"/>
      <c r="C8" s="77"/>
      <c r="D8" s="77"/>
      <c r="E8" s="77"/>
      <c r="F8" s="1"/>
      <c r="G8" s="1"/>
    </row>
    <row r="9" spans="1:7" x14ac:dyDescent="0.35">
      <c r="A9" s="3"/>
      <c r="B9" s="1"/>
      <c r="C9" s="1"/>
      <c r="D9" s="1"/>
      <c r="E9" s="1"/>
      <c r="F9" s="1"/>
      <c r="G9" s="1"/>
    </row>
    <row r="10" spans="1:7" x14ac:dyDescent="0.35">
      <c r="A10" s="1"/>
      <c r="B10" s="1"/>
      <c r="C10" s="1"/>
      <c r="D10" s="1"/>
      <c r="E10" s="1"/>
      <c r="F10" s="1"/>
      <c r="G10" s="1"/>
    </row>
    <row r="11" spans="1:7" x14ac:dyDescent="0.35">
      <c r="A11" s="1"/>
      <c r="B11" s="1"/>
      <c r="C11" s="1"/>
      <c r="D11" s="1"/>
      <c r="E11" s="1"/>
      <c r="F11" s="1"/>
      <c r="G11" s="1"/>
    </row>
    <row r="12" spans="1:7" ht="18.5" x14ac:dyDescent="0.35">
      <c r="A12" s="2"/>
      <c r="B12" s="1"/>
      <c r="C12" s="1"/>
      <c r="D12" s="1"/>
      <c r="E12" s="1"/>
      <c r="F12" s="1"/>
      <c r="G12" s="1"/>
    </row>
    <row r="13" spans="1:7" x14ac:dyDescent="0.35">
      <c r="A13" s="3"/>
      <c r="B13" s="1"/>
      <c r="C13" s="1"/>
      <c r="D13" s="1"/>
      <c r="E13" s="1"/>
      <c r="F13" s="1"/>
      <c r="G13" s="1"/>
    </row>
  </sheetData>
  <mergeCells count="1">
    <mergeCell ref="A8:E8"/>
  </mergeCells>
  <pageMargins left="0.70866141732283505" right="0.70866141732283505" top="0.74803149606299202" bottom="0.74803149606299202" header="0.31496062992126" footer="0.31496062992126"/>
  <pageSetup orientation="portrait" r:id="rId1"/>
  <headerFooter>
    <oddHeader>&amp;L&amp;G&amp;C&amp;"-,Bold"IB System Release Versions&amp;RIB System Release Versions
Document Id : D002330536, Rev A</oddHeader>
    <oddFooter>&amp;LARIS Template ID: 2009001092
ARIS Template Version: 2&amp;CPhilips Information Classification: Internal
Printed copies are uncontrolled unless authenticated&amp;R&amp;P of &amp;N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20" sqref="A20"/>
    </sheetView>
  </sheetViews>
  <sheetFormatPr defaultRowHeight="14.5" x14ac:dyDescent="0.35"/>
  <cols>
    <col min="1" max="1" width="17.453125" bestFit="1" customWidth="1"/>
    <col min="2" max="2" width="19.1796875" bestFit="1" customWidth="1"/>
  </cols>
  <sheetData>
    <row r="3" spans="1:2" x14ac:dyDescent="0.35">
      <c r="A3" s="14" t="s">
        <v>281</v>
      </c>
      <c r="B3" t="s">
        <v>282</v>
      </c>
    </row>
    <row r="4" spans="1:2" x14ac:dyDescent="0.35">
      <c r="A4" s="9" t="s">
        <v>76</v>
      </c>
      <c r="B4">
        <v>6</v>
      </c>
    </row>
    <row r="5" spans="1:2" x14ac:dyDescent="0.35">
      <c r="A5" s="9" t="s">
        <v>51</v>
      </c>
      <c r="B5">
        <v>6</v>
      </c>
    </row>
    <row r="6" spans="1:2" x14ac:dyDescent="0.35">
      <c r="A6" s="9" t="s">
        <v>38</v>
      </c>
      <c r="B6">
        <v>3</v>
      </c>
    </row>
    <row r="7" spans="1:2" x14ac:dyDescent="0.35">
      <c r="A7" s="9" t="s">
        <v>41</v>
      </c>
      <c r="B7">
        <v>3</v>
      </c>
    </row>
    <row r="8" spans="1:2" x14ac:dyDescent="0.35">
      <c r="A8" s="9" t="s">
        <v>24</v>
      </c>
      <c r="B8">
        <v>2</v>
      </c>
    </row>
    <row r="9" spans="1:2" x14ac:dyDescent="0.35">
      <c r="A9" s="9" t="s">
        <v>30</v>
      </c>
      <c r="B9">
        <v>2</v>
      </c>
    </row>
    <row r="10" spans="1:2" x14ac:dyDescent="0.35">
      <c r="A10" s="9" t="s">
        <v>44</v>
      </c>
      <c r="B10">
        <v>5</v>
      </c>
    </row>
    <row r="11" spans="1:2" x14ac:dyDescent="0.35">
      <c r="A11" s="9" t="s">
        <v>68</v>
      </c>
      <c r="B11">
        <v>1</v>
      </c>
    </row>
    <row r="12" spans="1:2" x14ac:dyDescent="0.35">
      <c r="A12" s="9" t="s">
        <v>59</v>
      </c>
      <c r="B12">
        <v>2</v>
      </c>
    </row>
    <row r="13" spans="1:2" x14ac:dyDescent="0.35">
      <c r="A13" s="9" t="s">
        <v>89</v>
      </c>
      <c r="B13">
        <v>1</v>
      </c>
    </row>
    <row r="14" spans="1:2" x14ac:dyDescent="0.35">
      <c r="A14" s="9" t="s">
        <v>268</v>
      </c>
      <c r="B14">
        <v>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I10" sqref="I10"/>
    </sheetView>
  </sheetViews>
  <sheetFormatPr defaultRowHeight="14.5" x14ac:dyDescent="0.35"/>
  <cols>
    <col min="1" max="1" width="23" bestFit="1" customWidth="1"/>
    <col min="2" max="2" width="18.54296875" bestFit="1" customWidth="1"/>
  </cols>
  <sheetData>
    <row r="3" spans="1:2" x14ac:dyDescent="0.35">
      <c r="A3" s="14" t="s">
        <v>281</v>
      </c>
      <c r="B3" t="s">
        <v>283</v>
      </c>
    </row>
    <row r="4" spans="1:2" x14ac:dyDescent="0.35">
      <c r="A4" s="9" t="s">
        <v>139</v>
      </c>
      <c r="B4">
        <v>3</v>
      </c>
    </row>
    <row r="5" spans="1:2" x14ac:dyDescent="0.35">
      <c r="A5" s="9" t="s">
        <v>152</v>
      </c>
      <c r="B5">
        <v>1</v>
      </c>
    </row>
    <row r="6" spans="1:2" x14ac:dyDescent="0.35">
      <c r="A6" s="9" t="s">
        <v>268</v>
      </c>
      <c r="B6">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K27" sqref="K27"/>
    </sheetView>
  </sheetViews>
  <sheetFormatPr defaultRowHeight="14.5" x14ac:dyDescent="0.35"/>
  <cols>
    <col min="1" max="1" width="12.453125" bestFit="1" customWidth="1"/>
    <col min="2" max="2" width="19.453125" bestFit="1" customWidth="1"/>
  </cols>
  <sheetData>
    <row r="3" spans="1:2" x14ac:dyDescent="0.35">
      <c r="A3" s="14" t="s">
        <v>281</v>
      </c>
      <c r="B3" t="s">
        <v>284</v>
      </c>
    </row>
    <row r="4" spans="1:2" x14ac:dyDescent="0.35">
      <c r="A4" s="9" t="s">
        <v>171</v>
      </c>
      <c r="B4">
        <v>1</v>
      </c>
    </row>
    <row r="5" spans="1:2" x14ac:dyDescent="0.35">
      <c r="A5" s="9" t="s">
        <v>76</v>
      </c>
      <c r="B5">
        <v>2</v>
      </c>
    </row>
    <row r="6" spans="1:2" x14ac:dyDescent="0.35">
      <c r="A6" s="9" t="s">
        <v>214</v>
      </c>
      <c r="B6">
        <v>1</v>
      </c>
    </row>
    <row r="7" spans="1:2" x14ac:dyDescent="0.35">
      <c r="A7" s="9" t="s">
        <v>89</v>
      </c>
      <c r="B7">
        <v>2</v>
      </c>
    </row>
    <row r="8" spans="1:2" x14ac:dyDescent="0.35">
      <c r="A8" s="9" t="s">
        <v>190</v>
      </c>
      <c r="B8">
        <v>1</v>
      </c>
    </row>
    <row r="9" spans="1:2" x14ac:dyDescent="0.35">
      <c r="A9" s="9" t="s">
        <v>160</v>
      </c>
      <c r="B9">
        <v>2</v>
      </c>
    </row>
    <row r="10" spans="1:2" x14ac:dyDescent="0.35">
      <c r="A10" s="9" t="s">
        <v>177</v>
      </c>
      <c r="B10">
        <v>3</v>
      </c>
    </row>
    <row r="11" spans="1:2" x14ac:dyDescent="0.35">
      <c r="A11" s="9" t="s">
        <v>200</v>
      </c>
      <c r="B11">
        <v>1</v>
      </c>
    </row>
    <row r="12" spans="1:2" x14ac:dyDescent="0.35">
      <c r="A12" s="9" t="s">
        <v>181</v>
      </c>
      <c r="B12">
        <v>1</v>
      </c>
    </row>
    <row r="13" spans="1:2" x14ac:dyDescent="0.35">
      <c r="A13" s="9" t="s">
        <v>203</v>
      </c>
      <c r="B13">
        <v>1</v>
      </c>
    </row>
    <row r="14" spans="1:2" x14ac:dyDescent="0.35">
      <c r="A14" s="9" t="s">
        <v>208</v>
      </c>
      <c r="B14">
        <v>1</v>
      </c>
    </row>
    <row r="15" spans="1:2" x14ac:dyDescent="0.35">
      <c r="A15" s="9" t="s">
        <v>268</v>
      </c>
      <c r="B15">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9531C6DA629D4C8FCD52754E4B46E3" ma:contentTypeVersion="12" ma:contentTypeDescription="Create a new document." ma:contentTypeScope="" ma:versionID="9c5616788a33f9994cceaf7133eeb7f3">
  <xsd:schema xmlns:xsd="http://www.w3.org/2001/XMLSchema" xmlns:xs="http://www.w3.org/2001/XMLSchema" xmlns:p="http://schemas.microsoft.com/office/2006/metadata/properties" xmlns:ns2="30d9df97-1706-4bab-bca5-48fb0f30358d" xmlns:ns3="b05385d9-53d8-41a9-b5ab-fe934fad5743" targetNamespace="http://schemas.microsoft.com/office/2006/metadata/properties" ma:root="true" ma:fieldsID="6f7eb6ccdbb53bc557ecb725567e0585" ns2:_="" ns3:_="">
    <xsd:import namespace="30d9df97-1706-4bab-bca5-48fb0f30358d"/>
    <xsd:import namespace="b05385d9-53d8-41a9-b5ab-fe934fad57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d9df97-1706-4bab-bca5-48fb0f3035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5385d9-53d8-41a9-b5ab-fe934fad574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261f9a7-d2e0-4ab4-82eb-80ac3fb94110}" ma:internalName="TaxCatchAll" ma:showField="CatchAllData" ma:web="b05385d9-53d8-41a9-b5ab-fe934fad5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d9df97-1706-4bab-bca5-48fb0f30358d">
      <Terms xmlns="http://schemas.microsoft.com/office/infopath/2007/PartnerControls"/>
    </lcf76f155ced4ddcb4097134ff3c332f>
    <TaxCatchAll xmlns="b05385d9-53d8-41a9-b5ab-fe934fad5743" xsi:nil="true"/>
  </documentManagement>
</p:properties>
</file>

<file path=customXml/item3.xml><?xml version="1.0" encoding="utf-8"?>
<?mso-contentType ?>
<SharedContentType xmlns="Microsoft.SharePoint.Taxonomy.ContentTypeSync" SourceId="e40374fb-a6cc-4854-989f-c1d94a7967ee"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7F42B7-0DE8-4EAE-B9E4-D3BE1BF926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d9df97-1706-4bab-bca5-48fb0f30358d"/>
    <ds:schemaRef ds:uri="b05385d9-53d8-41a9-b5ab-fe934fad5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328D23-6E7B-4023-83EF-B1E8749780C4}">
  <ds:schemaRefs>
    <ds:schemaRef ds:uri="http://schemas.microsoft.com/office/2006/documentManagement/types"/>
    <ds:schemaRef ds:uri="http://schemas.microsoft.com/office/2006/metadata/properties"/>
    <ds:schemaRef ds:uri="30d9df97-1706-4bab-bca5-48fb0f30358d"/>
    <ds:schemaRef ds:uri="http://purl.org/dc/elements/1.1/"/>
    <ds:schemaRef ds:uri="http://schemas.openxmlformats.org/package/2006/metadata/core-properties"/>
    <ds:schemaRef ds:uri="b05385d9-53d8-41a9-b5ab-fe934fad5743"/>
    <ds:schemaRef ds:uri="http://purl.org/dc/term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B97C0750-9E74-4E00-82DD-C5AA71E5380B}">
  <ds:schemaRefs>
    <ds:schemaRef ds:uri="Microsoft.SharePoint.Taxonomy.ContentTypeSync"/>
  </ds:schemaRefs>
</ds:datastoreItem>
</file>

<file path=customXml/itemProps4.xml><?xml version="1.0" encoding="utf-8"?>
<ds:datastoreItem xmlns:ds="http://schemas.openxmlformats.org/officeDocument/2006/customXml" ds:itemID="{EF61634C-C180-47B2-82B1-2E938ACC754C}">
  <ds:schemaRefs>
    <ds:schemaRef ds:uri="http://schemas.microsoft.com/sharepoint/v3/contenttype/forms"/>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Page</vt:lpstr>
      <vt:lpstr>Win10 1607</vt:lpstr>
      <vt:lpstr>Win10 1809</vt:lpstr>
      <vt:lpstr>Win10 2021</vt:lpstr>
      <vt:lpstr>Summary</vt:lpstr>
      <vt:lpstr>Revision history</vt:lpstr>
      <vt:lpstr>Pivot_Win10_1607</vt:lpstr>
      <vt:lpstr>Pivot-Win10_1809</vt:lpstr>
      <vt:lpstr>Pivot_2021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IB System Release Versions</dc:title>
  <dc:subject/>
  <dc:creator>Liang, Brian</dc:creator>
  <cp:keywords/>
  <dc:description/>
  <cp:lastModifiedBy>Sahoo, Prasanta Kumar </cp:lastModifiedBy>
  <cp:revision/>
  <dcterms:created xsi:type="dcterms:W3CDTF">2023-03-01T13:56:54Z</dcterms:created>
  <dcterms:modified xsi:type="dcterms:W3CDTF">2026-06-29T09:13:07Z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ster template Id">
    <vt:lpwstr>00004041</vt:lpwstr>
  </property>
  <property fmtid="{D5CDD505-2E9C-101B-9397-08002B2CF9AE}" pid="3" name="Master template version">
    <vt:lpwstr>3</vt:lpwstr>
  </property>
  <property fmtid="{D5CDD505-2E9C-101B-9397-08002B2CF9AE}" pid="4" name="ARIS Template id">
    <vt:lpwstr>PE_005982</vt:lpwstr>
  </property>
  <property fmtid="{D5CDD505-2E9C-101B-9397-08002B2CF9AE}" pid="5" name="ARIS Template version">
    <vt:lpwstr>8</vt:lpwstr>
  </property>
  <property fmtid="{D5CDD505-2E9C-101B-9397-08002B2CF9AE}" pid="6" name="ContentTypeId">
    <vt:lpwstr>0x0101009F9531C6DA629D4C8FCD52754E4B46E3</vt:lpwstr>
  </property>
  <property fmtid="{D5CDD505-2E9C-101B-9397-08002B2CF9AE}" pid="7" name="MediaServiceImageTags">
    <vt:lpwstr/>
  </property>
  <property fmtid="{D5CDD505-2E9C-101B-9397-08002B2CF9AE}" pid="8" name="Order">
    <vt:r8>102900</vt:r8>
  </property>
  <property fmtid="{D5CDD505-2E9C-101B-9397-08002B2CF9AE}" pid="9" name="xd_Signature">
    <vt:bool>false</vt:bool>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Status">
    <vt:lpwstr>Approved</vt:lpwstr>
  </property>
  <property fmtid="{D5CDD505-2E9C-101B-9397-08002B2CF9AE}" pid="16" name="Template Id">
    <vt:lpwstr>2009001092</vt:lpwstr>
  </property>
  <property fmtid="{D5CDD505-2E9C-101B-9397-08002B2CF9AE}" pid="17" name="Approval year">
    <vt:lpwstr>2024</vt:lpwstr>
  </property>
  <property fmtid="{D5CDD505-2E9C-101B-9397-08002B2CF9AE}" pid="18" name="Version">
    <vt:lpwstr>1</vt:lpwstr>
  </property>
  <property fmtid="{D5CDD505-2E9C-101B-9397-08002B2CF9AE}" pid="19" name="Document name">
    <vt:lpwstr>Template for MS-QMS Form or Template (Excel)</vt:lpwstr>
  </property>
  <property fmtid="{D5CDD505-2E9C-101B-9397-08002B2CF9AE}" pid="20" name="Template version">
    <vt:lpwstr>1</vt:lpwstr>
  </property>
  <property fmtid="{D5CDD505-2E9C-101B-9397-08002B2CF9AE}" pid="21" name="Document Id">
    <vt:lpwstr>2009001092</vt:lpwstr>
  </property>
  <property fmtid="{D5CDD505-2E9C-101B-9397-08002B2CF9AE}" pid="22" name="Approval date">
    <vt:lpwstr>03-Dec-2024</vt:lpwstr>
  </property>
</Properties>
</file>